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14_{536D004A-E158-4F58-B16B-CD2356B7D37C}" xr6:coauthVersionLast="47" xr6:coauthVersionMax="47" xr10:uidLastSave="{00000000-0000-0000-0000-000000000000}"/>
  <bookViews>
    <workbookView xWindow="-108" yWindow="-108" windowWidth="23256" windowHeight="12456" activeTab="1" xr2:uid="{117B05F1-DEEF-4C7C-BB36-C3B3278BFFBD}"/>
  </bookViews>
  <sheets>
    <sheet name="Raw_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N13" i="2" l="1"/>
  <c r="N14" i="2"/>
  <c r="N15" i="2"/>
  <c r="N12" i="2"/>
  <c r="K4" i="2"/>
  <c r="H5" i="2"/>
  <c r="H6" i="2"/>
  <c r="H7" i="2"/>
  <c r="H8" i="2"/>
  <c r="H4" i="2"/>
  <c r="G6" i="2"/>
  <c r="G7" i="2" s="1"/>
  <c r="G8" i="2" s="1"/>
  <c r="G5" i="2"/>
  <c r="E3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  <c r="B6" i="2"/>
  <c r="B5" i="2"/>
  <c r="B4" i="2"/>
  <c r="B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</calcChain>
</file>

<file path=xl/sharedStrings.xml><?xml version="1.0" encoding="utf-8"?>
<sst xmlns="http://schemas.openxmlformats.org/spreadsheetml/2006/main" count="388" uniqueCount="157">
  <si>
    <t>Date</t>
  </si>
  <si>
    <t>Transaction ID</t>
  </si>
  <si>
    <t>Product</t>
  </si>
  <si>
    <t>Category</t>
  </si>
  <si>
    <t>Quantity</t>
  </si>
  <si>
    <t>Unit Price</t>
  </si>
  <si>
    <t>Total Sales</t>
  </si>
  <si>
    <t>T001</t>
  </si>
  <si>
    <t>Jeans</t>
  </si>
  <si>
    <t>Clothing</t>
  </si>
  <si>
    <t>T002</t>
  </si>
  <si>
    <t>Handbag</t>
  </si>
  <si>
    <t>Accessories</t>
  </si>
  <si>
    <t>T003</t>
  </si>
  <si>
    <t>Smart Watch</t>
  </si>
  <si>
    <t>Electronics</t>
  </si>
  <si>
    <t>T004</t>
  </si>
  <si>
    <t>Backpack</t>
  </si>
  <si>
    <t>T005</t>
  </si>
  <si>
    <t>Dress</t>
  </si>
  <si>
    <t>T006</t>
  </si>
  <si>
    <t>T007</t>
  </si>
  <si>
    <t>T008</t>
  </si>
  <si>
    <t>T-Shirt</t>
  </si>
  <si>
    <t>T009</t>
  </si>
  <si>
    <t>Mobile Phone</t>
  </si>
  <si>
    <t>T010</t>
  </si>
  <si>
    <t>T011</t>
  </si>
  <si>
    <t>T012</t>
  </si>
  <si>
    <t>T013</t>
  </si>
  <si>
    <t>T014</t>
  </si>
  <si>
    <t>Headphones</t>
  </si>
  <si>
    <t>T015</t>
  </si>
  <si>
    <t>Laptop</t>
  </si>
  <si>
    <t>T016</t>
  </si>
  <si>
    <t>Sandals</t>
  </si>
  <si>
    <t>Footwear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</si>
  <si>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</si>
  <si>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</si>
  <si>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</si>
  <si>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</si>
  <si>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</si>
  <si>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</si>
  <si>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</si>
  <si>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</si>
  <si>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</si>
  <si>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</si>
  <si>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</si>
  <si>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Shirt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</si>
  <si>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</si>
  <si>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</si>
  <si>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</si>
  <si>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</si>
  <si>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</si>
  <si>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</si>
  <si>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</si>
  <si>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</si>
  <si>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</si>
  <si>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</si>
  <si>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</si>
  <si>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</si>
  <si>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</si>
  <si>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</si>
  <si>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</si>
  <si>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</si>
  <si>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</si>
  <si>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</si>
  <si>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</si>
  <si>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</si>
  <si>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</si>
  <si>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</si>
  <si>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</si>
  <si>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</si>
  <si>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</si>
  <si>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</si>
  <si>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</si>
  <si>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</si>
  <si>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</si>
  <si>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</si>
  <si>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</si>
  <si>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</si>
  <si>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</si>
  <si>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</si>
  <si>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</si>
  <si>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</si>
  <si>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</si>
  <si>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</si>
  <si>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</si>
  <si>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</si>
  <si>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</si>
  <si>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</si>
  <si>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</si>
  <si>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</si>
  <si>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</si>
  <si>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Sports Shoes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</si>
  <si>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</si>
  <si>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</si>
  <si>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</si>
  <si>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</si>
  <si>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</si>
  <si>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</si>
  <si>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</si>
  <si>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</si>
  <si>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</si>
  <si>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</si>
  <si>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</si>
  <si>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</si>
  <si>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</si>
  <si>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</si>
  <si>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</si>
  <si>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</si>
  <si>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</si>
  <si>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</si>
  <si>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</si>
  <si>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</si>
  <si>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</si>
  <si>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</si>
  <si>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</si>
  <si>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</si>
  <si>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</si>
  <si>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</si>
  <si>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</si>
  <si>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</si>
  <si>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</si>
  <si>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</si>
  <si>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</si>
  <si>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</si>
  <si>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</si>
  <si>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</si>
  <si>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</si>
  <si>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</si>
  <si>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</si>
  <si>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</si>
  <si>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</si>
  <si>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</si>
  <si>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</si>
  <si>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</si>
  <si>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</si>
  <si>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</si>
  <si>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</si>
  <si>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</si>
  <si>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</si>
  <si>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</si>
  <si>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SALES TRACKER SUMMARY</t>
  </si>
  <si>
    <t>Total Quantity</t>
  </si>
  <si>
    <t>Total Transactions</t>
  </si>
  <si>
    <t>Average Sale</t>
  </si>
  <si>
    <t>DAILY SALES</t>
  </si>
  <si>
    <t>Daily Sales</t>
  </si>
  <si>
    <t>WEEKLY SALES</t>
  </si>
  <si>
    <t>Week Start</t>
  </si>
  <si>
    <t>Weekly Sales</t>
  </si>
  <si>
    <t>MONTHLY SALES</t>
  </si>
  <si>
    <t>Month</t>
  </si>
  <si>
    <t>Monthly Sales</t>
  </si>
  <si>
    <t>CATEGORY SALES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</si>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</sst>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CDFB-3989-476C-8796-9E648844A1FF}">
  <dimension ref="A1:G121"/>
  <sheetViews>
    <sheetView workbookViewId="0">
      <selection sqref="A1:A1048576"/>
    </sheetView>
  </sheetViews>
  <sheetFormatPr defaultRowHeight="14.4" x14ac:dyDescent="0.3"/>
  <cols>
    <col min="1" max="1" width="16.21875" customWidth="1"/>
    <col min="2" max="2" width="16" customWidth="1"/>
    <col min="3" max="3" width="18.6640625" customWidth="1"/>
    <col min="4" max="4" width="17" customWidth="1"/>
    <col min="5" max="5" width="13" customWidth="1"/>
    <col min="6" max="6" width="11.21875" customWidth="1"/>
    <col min="7" max="7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46303</v>
      </c>
      <c r="B2" t="s">
        <v>7</v>
      </c>
      <c r="C2" t="s">
        <v>8</v>
      </c>
      <c r="D2" t="s">
        <v>9</v>
      </c>
      <c r="E2">
        <v>4</v>
      </c>
      <c r="F2">
        <v>1800</v>
      </c>
      <c r="G2">
        <f>E2*F2</f>
        <v>7200</v>
      </c>
    </row>
    <row r="3" spans="1:7" x14ac:dyDescent="0.3">
      <c r="A3" s="1">
        <v>46302</v>
      </c>
      <c r="B3" t="s">
        <v>10</v>
      </c>
      <c r="C3" t="s">
        <v>11</v>
      </c>
      <c r="D3" t="s">
        <v>12</v>
      </c>
      <c r="E3">
        <v>1</v>
      </c>
      <c r="F3">
        <v>2380</v>
      </c>
      <c r="G3">
        <f t="shared" ref="G3:G66" si="0">E3*F3</f>
        <v>2380</v>
      </c>
    </row>
    <row r="4" spans="1:7" x14ac:dyDescent="0.3">
      <c r="A4" s="1">
        <v>46300</v>
      </c>
      <c r="B4" t="s">
        <v>13</v>
      </c>
      <c r="C4" t="s">
        <v>14</v>
      </c>
      <c r="D4" t="s">
        <v>15</v>
      </c>
      <c r="E4">
        <v>5</v>
      </c>
      <c r="F4">
        <v>4500</v>
      </c>
      <c r="G4">
        <f t="shared" si="0"/>
        <v>22500</v>
      </c>
    </row>
    <row r="5" spans="1:7" x14ac:dyDescent="0.3">
      <c r="A5" s="1">
        <v>46308</v>
      </c>
      <c r="B5" t="s">
        <v>16</v>
      </c>
      <c r="C5" t="s">
        <v>17</v>
      </c>
      <c r="D5" t="s">
        <v>12</v>
      </c>
      <c r="E5">
        <v>1</v>
      </c>
      <c r="F5">
        <v>1890</v>
      </c>
      <c r="G5">
        <f t="shared" si="0"/>
        <v>1890</v>
      </c>
    </row>
    <row r="6" spans="1:7" x14ac:dyDescent="0.3">
      <c r="A6" s="1">
        <v>46311</v>
      </c>
      <c r="B6" t="s">
        <v>18</v>
      </c>
      <c r="C6" t="s">
        <v>19</v>
      </c>
      <c r="D6" t="s">
        <v>9</v>
      </c>
      <c r="E6">
        <v>4</v>
      </c>
      <c r="F6">
        <v>2310</v>
      </c>
      <c r="G6">
        <f t="shared" si="0"/>
        <v>9240</v>
      </c>
    </row>
    <row r="7" spans="1:7" x14ac:dyDescent="0.3">
      <c r="A7" s="1">
        <v>46314</v>
      </c>
      <c r="B7" t="s">
        <v>20</v>
      </c>
      <c r="C7" t="s">
        <v>14</v>
      </c>
      <c r="D7" t="s">
        <v>15</v>
      </c>
      <c r="E7">
        <v>4</v>
      </c>
      <c r="F7">
        <v>4280</v>
      </c>
      <c r="G7">
        <f t="shared" si="0"/>
        <v>17120</v>
      </c>
    </row>
    <row r="8" spans="1:7" x14ac:dyDescent="0.3">
      <c r="A8" s="1">
        <v>46311</v>
      </c>
      <c r="B8" t="s">
        <v>21</v>
      </c>
      <c r="C8" t="s">
        <v>14</v>
      </c>
      <c r="D8" t="s">
        <v>15</v>
      </c>
      <c r="E8">
        <v>1</v>
      </c>
      <c r="F8">
        <v>4500</v>
      </c>
      <c r="G8">
        <f t="shared" si="0"/>
        <v>4500</v>
      </c>
    </row>
    <row r="9" spans="1:7" x14ac:dyDescent="0.3">
      <c r="A9" s="1">
        <v>46312</v>
      </c>
      <c r="B9" t="s">
        <v>22</v>
      </c>
      <c r="C9" t="s">
        <v>23</v>
      </c>
      <c r="D9" t="s">
        <v>9</v>
      </c>
      <c r="E9">
        <v>4</v>
      </c>
      <c r="F9">
        <v>840</v>
      </c>
      <c r="G9">
        <f t="shared" si="0"/>
        <v>3360</v>
      </c>
    </row>
    <row r="10" spans="1:7" x14ac:dyDescent="0.3">
      <c r="A10" s="1">
        <v>46319</v>
      </c>
      <c r="B10" t="s">
        <v>24</v>
      </c>
      <c r="C10" t="s">
        <v>25</v>
      </c>
      <c r="D10" t="s">
        <v>15</v>
      </c>
      <c r="E10">
        <v>3</v>
      </c>
      <c r="F10">
        <v>23750</v>
      </c>
      <c r="G10">
        <f t="shared" si="0"/>
        <v>71250</v>
      </c>
    </row>
    <row r="11" spans="1:7" x14ac:dyDescent="0.3">
      <c r="A11" s="1">
        <v>46322</v>
      </c>
      <c r="B11" t="s">
        <v>26</v>
      </c>
      <c r="C11" t="s">
        <v>25</v>
      </c>
      <c r="D11" t="s">
        <v>15</v>
      </c>
      <c r="E11">
        <v>4</v>
      </c>
      <c r="F11">
        <v>27500</v>
      </c>
      <c r="G11">
        <f t="shared" si="0"/>
        <v>110000</v>
      </c>
    </row>
    <row r="12" spans="1:7" x14ac:dyDescent="0.3">
      <c r="A12" s="1">
        <v>46322</v>
      </c>
      <c r="B12" t="s">
        <v>27</v>
      </c>
      <c r="C12" t="s">
        <v>23</v>
      </c>
      <c r="D12" t="s">
        <v>9</v>
      </c>
      <c r="E12">
        <v>1</v>
      </c>
      <c r="F12">
        <v>760</v>
      </c>
      <c r="G12">
        <f t="shared" si="0"/>
        <v>760</v>
      </c>
    </row>
    <row r="13" spans="1:7" x14ac:dyDescent="0.3">
      <c r="A13" s="1">
        <v>46306</v>
      </c>
      <c r="B13" t="s">
        <v>28</v>
      </c>
      <c r="C13" t="s">
        <v>14</v>
      </c>
      <c r="D13" t="s">
        <v>15</v>
      </c>
      <c r="E13">
        <v>1</v>
      </c>
      <c r="F13">
        <v>4720</v>
      </c>
      <c r="G13">
        <f t="shared" si="0"/>
        <v>4720</v>
      </c>
    </row>
    <row r="14" spans="1:7" x14ac:dyDescent="0.3">
      <c r="A14" s="1">
        <v>46324</v>
      </c>
      <c r="B14" t="s">
        <v>29</v>
      </c>
      <c r="C14" t="s">
        <v>17</v>
      </c>
      <c r="D14" t="s">
        <v>12</v>
      </c>
      <c r="E14">
        <v>5</v>
      </c>
      <c r="F14">
        <v>1800</v>
      </c>
      <c r="G14">
        <f t="shared" si="0"/>
        <v>9000</v>
      </c>
    </row>
    <row r="15" spans="1:7" x14ac:dyDescent="0.3">
      <c r="A15" s="1">
        <v>46314</v>
      </c>
      <c r="B15" t="s">
        <v>30</v>
      </c>
      <c r="C15" t="s">
        <v>31</v>
      </c>
      <c r="D15" t="s">
        <v>15</v>
      </c>
      <c r="E15">
        <v>5</v>
      </c>
      <c r="F15">
        <v>2380</v>
      </c>
      <c r="G15">
        <f t="shared" si="0"/>
        <v>11900</v>
      </c>
    </row>
    <row r="16" spans="1:7" x14ac:dyDescent="0.3">
      <c r="A16" s="1">
        <v>46313</v>
      </c>
      <c r="B16" t="s">
        <v>32</v>
      </c>
      <c r="C16" t="s">
        <v>33</v>
      </c>
      <c r="D16" t="s">
        <v>15</v>
      </c>
      <c r="E16">
        <v>4</v>
      </c>
      <c r="F16">
        <v>50000</v>
      </c>
      <c r="G16">
        <f t="shared" si="0"/>
        <v>200000</v>
      </c>
    </row>
    <row r="17" spans="1:7" x14ac:dyDescent="0.3">
      <c r="A17" s="1">
        <v>46300</v>
      </c>
      <c r="B17" t="s">
        <v>34</v>
      </c>
      <c r="C17" t="s">
        <v>35</v>
      </c>
      <c r="D17" t="s">
        <v>36</v>
      </c>
      <c r="E17">
        <v>4</v>
      </c>
      <c r="F17">
        <v>1650</v>
      </c>
      <c r="G17">
        <f t="shared" si="0"/>
        <v>6600</v>
      </c>
    </row>
    <row r="18" spans="1:7" x14ac:dyDescent="0.3">
      <c r="A18" s="1">
        <v>46324</v>
      </c>
      <c r="B18" t="s">
        <v>37</v>
      </c>
      <c r="C18" t="s">
        <v>19</v>
      </c>
      <c r="D18" t="s">
        <v>9</v>
      </c>
      <c r="E18">
        <v>3</v>
      </c>
      <c r="F18">
        <v>2420</v>
      </c>
      <c r="G18">
        <f t="shared" si="0"/>
        <v>7260</v>
      </c>
    </row>
    <row r="19" spans="1:7" x14ac:dyDescent="0.3">
      <c r="A19" s="1">
        <v>46307</v>
      </c>
      <c r="B19" t="s">
        <v>38</v>
      </c>
      <c r="C19" t="s">
        <v>23</v>
      </c>
      <c r="D19" t="s">
        <v>9</v>
      </c>
      <c r="E19">
        <v>2</v>
      </c>
      <c r="F19">
        <v>800</v>
      </c>
      <c r="G19">
        <f t="shared" si="0"/>
        <v>1600</v>
      </c>
    </row>
    <row r="20" spans="1:7" x14ac:dyDescent="0.3">
      <c r="A20" s="1">
        <v>46320</v>
      </c>
      <c r="B20" t="s">
        <v>39</v>
      </c>
      <c r="C20" t="s">
        <v>35</v>
      </c>
      <c r="D20" t="s">
        <v>36</v>
      </c>
      <c r="E20">
        <v>1</v>
      </c>
      <c r="F20">
        <v>1650</v>
      </c>
      <c r="G20">
        <f t="shared" si="0"/>
        <v>1650</v>
      </c>
    </row>
    <row r="21" spans="1:7" x14ac:dyDescent="0.3">
      <c r="A21" s="1">
        <v>46318</v>
      </c>
      <c r="B21" t="s">
        <v>40</v>
      </c>
      <c r="C21" t="s">
        <v>8</v>
      </c>
      <c r="D21" t="s">
        <v>9</v>
      </c>
      <c r="E21">
        <v>3</v>
      </c>
      <c r="F21">
        <v>1890</v>
      </c>
      <c r="G21">
        <f t="shared" si="0"/>
        <v>5670</v>
      </c>
    </row>
    <row r="22" spans="1:7" x14ac:dyDescent="0.3">
      <c r="A22" s="1">
        <v>46312</v>
      </c>
      <c r="B22" t="s">
        <v>41</v>
      </c>
      <c r="C22" t="s">
        <v>35</v>
      </c>
      <c r="D22" t="s">
        <v>36</v>
      </c>
      <c r="E22">
        <v>2</v>
      </c>
      <c r="F22">
        <v>1500</v>
      </c>
      <c r="G22">
        <f t="shared" si="0"/>
        <v>3000</v>
      </c>
    </row>
    <row r="23" spans="1:7" x14ac:dyDescent="0.3">
      <c r="A23" s="1">
        <v>46300</v>
      </c>
      <c r="B23" t="s">
        <v>42</v>
      </c>
      <c r="C23" t="s">
        <v>8</v>
      </c>
      <c r="D23" t="s">
        <v>9</v>
      </c>
      <c r="E23">
        <v>5</v>
      </c>
      <c r="F23">
        <v>1800</v>
      </c>
      <c r="G23">
        <f t="shared" si="0"/>
        <v>9000</v>
      </c>
    </row>
    <row r="24" spans="1:7" x14ac:dyDescent="0.3">
      <c r="A24" s="1">
        <v>46312</v>
      </c>
      <c r="B24" t="s">
        <v>43</v>
      </c>
      <c r="C24" t="s">
        <v>17</v>
      </c>
      <c r="D24" t="s">
        <v>12</v>
      </c>
      <c r="E24">
        <v>1</v>
      </c>
      <c r="F24">
        <v>1980</v>
      </c>
      <c r="G24">
        <f t="shared" si="0"/>
        <v>1980</v>
      </c>
    </row>
    <row r="25" spans="1:7" x14ac:dyDescent="0.3">
      <c r="A25" s="1">
        <v>46325</v>
      </c>
      <c r="B25" t="s">
        <v>44</v>
      </c>
      <c r="C25" t="s">
        <v>11</v>
      </c>
      <c r="D25" t="s">
        <v>12</v>
      </c>
      <c r="E25">
        <v>5</v>
      </c>
      <c r="F25">
        <v>2500</v>
      </c>
      <c r="G25">
        <f t="shared" si="0"/>
        <v>12500</v>
      </c>
    </row>
    <row r="26" spans="1:7" x14ac:dyDescent="0.3">
      <c r="A26" s="1">
        <v>46307</v>
      </c>
      <c r="B26" t="s">
        <v>45</v>
      </c>
      <c r="C26" t="s">
        <v>14</v>
      </c>
      <c r="D26" t="s">
        <v>15</v>
      </c>
      <c r="E26">
        <v>1</v>
      </c>
      <c r="F26">
        <v>4500</v>
      </c>
      <c r="G26">
        <f t="shared" si="0"/>
        <v>4500</v>
      </c>
    </row>
    <row r="27" spans="1:7" x14ac:dyDescent="0.3">
      <c r="A27" s="1">
        <v>46306</v>
      </c>
      <c r="B27" t="s">
        <v>46</v>
      </c>
      <c r="C27" t="s">
        <v>14</v>
      </c>
      <c r="D27" t="s">
        <v>15</v>
      </c>
      <c r="E27">
        <v>3</v>
      </c>
      <c r="F27">
        <v>4280</v>
      </c>
      <c r="G27">
        <f t="shared" si="0"/>
        <v>12840</v>
      </c>
    </row>
    <row r="28" spans="1:7" x14ac:dyDescent="0.3">
      <c r="A28" s="1">
        <v>46309</v>
      </c>
      <c r="B28" t="s">
        <v>47</v>
      </c>
      <c r="C28" t="s">
        <v>48</v>
      </c>
      <c r="D28" t="s">
        <v>9</v>
      </c>
      <c r="E28">
        <v>4</v>
      </c>
      <c r="F28">
        <v>1200</v>
      </c>
      <c r="G28">
        <f t="shared" si="0"/>
        <v>4800</v>
      </c>
    </row>
    <row r="29" spans="1:7" x14ac:dyDescent="0.3">
      <c r="A29" s="1">
        <v>46322</v>
      </c>
      <c r="B29" t="s">
        <v>49</v>
      </c>
      <c r="C29" t="s">
        <v>11</v>
      </c>
      <c r="D29" t="s">
        <v>12</v>
      </c>
      <c r="E29">
        <v>4</v>
      </c>
      <c r="F29">
        <v>2500</v>
      </c>
      <c r="G29">
        <f t="shared" si="0"/>
        <v>10000</v>
      </c>
    </row>
    <row r="30" spans="1:7" x14ac:dyDescent="0.3">
      <c r="A30" s="1">
        <v>46317</v>
      </c>
      <c r="B30" t="s">
        <v>50</v>
      </c>
      <c r="C30" t="s">
        <v>23</v>
      </c>
      <c r="D30" t="s">
        <v>9</v>
      </c>
      <c r="E30">
        <v>1</v>
      </c>
      <c r="F30">
        <v>800</v>
      </c>
      <c r="G30">
        <f t="shared" si="0"/>
        <v>800</v>
      </c>
    </row>
    <row r="31" spans="1:7" x14ac:dyDescent="0.3">
      <c r="A31" s="1">
        <v>46325</v>
      </c>
      <c r="B31" t="s">
        <v>51</v>
      </c>
      <c r="C31" t="s">
        <v>17</v>
      </c>
      <c r="D31" t="s">
        <v>12</v>
      </c>
      <c r="E31">
        <v>1</v>
      </c>
      <c r="F31">
        <v>1800</v>
      </c>
      <c r="G31">
        <f t="shared" si="0"/>
        <v>1800</v>
      </c>
    </row>
    <row r="32" spans="1:7" x14ac:dyDescent="0.3">
      <c r="A32" s="1">
        <v>46320</v>
      </c>
      <c r="B32" t="s">
        <v>52</v>
      </c>
      <c r="C32" t="s">
        <v>31</v>
      </c>
      <c r="D32" t="s">
        <v>15</v>
      </c>
      <c r="E32">
        <v>3</v>
      </c>
      <c r="F32">
        <v>2380</v>
      </c>
      <c r="G32">
        <f t="shared" si="0"/>
        <v>7140</v>
      </c>
    </row>
    <row r="33" spans="1:7" x14ac:dyDescent="0.3">
      <c r="A33" s="1">
        <v>46296</v>
      </c>
      <c r="B33" t="s">
        <v>53</v>
      </c>
      <c r="C33" t="s">
        <v>23</v>
      </c>
      <c r="D33" t="s">
        <v>9</v>
      </c>
      <c r="E33">
        <v>3</v>
      </c>
      <c r="F33">
        <v>800</v>
      </c>
      <c r="G33">
        <f t="shared" si="0"/>
        <v>2400</v>
      </c>
    </row>
    <row r="34" spans="1:7" x14ac:dyDescent="0.3">
      <c r="A34" s="1">
        <v>46314</v>
      </c>
      <c r="B34" t="s">
        <v>54</v>
      </c>
      <c r="C34" t="s">
        <v>23</v>
      </c>
      <c r="D34" t="s">
        <v>9</v>
      </c>
      <c r="E34">
        <v>2</v>
      </c>
      <c r="F34">
        <v>800</v>
      </c>
      <c r="G34">
        <f t="shared" si="0"/>
        <v>1600</v>
      </c>
    </row>
    <row r="35" spans="1:7" x14ac:dyDescent="0.3">
      <c r="A35" s="1">
        <v>46309</v>
      </c>
      <c r="B35" t="s">
        <v>55</v>
      </c>
      <c r="C35" t="s">
        <v>35</v>
      </c>
      <c r="D35" t="s">
        <v>36</v>
      </c>
      <c r="E35">
        <v>4</v>
      </c>
      <c r="F35">
        <v>1580</v>
      </c>
      <c r="G35">
        <f t="shared" si="0"/>
        <v>6320</v>
      </c>
    </row>
    <row r="36" spans="1:7" x14ac:dyDescent="0.3">
      <c r="A36" s="1">
        <v>46309</v>
      </c>
      <c r="B36" t="s">
        <v>56</v>
      </c>
      <c r="C36" t="s">
        <v>25</v>
      </c>
      <c r="D36" t="s">
        <v>15</v>
      </c>
      <c r="E36">
        <v>5</v>
      </c>
      <c r="F36">
        <v>23750</v>
      </c>
      <c r="G36">
        <f t="shared" si="0"/>
        <v>118750</v>
      </c>
    </row>
    <row r="37" spans="1:7" x14ac:dyDescent="0.3">
      <c r="A37" s="1">
        <v>46305</v>
      </c>
      <c r="B37" t="s">
        <v>57</v>
      </c>
      <c r="C37" t="s">
        <v>11</v>
      </c>
      <c r="D37" t="s">
        <v>12</v>
      </c>
      <c r="E37">
        <v>1</v>
      </c>
      <c r="F37">
        <v>2380</v>
      </c>
      <c r="G37">
        <f t="shared" si="0"/>
        <v>2380</v>
      </c>
    </row>
    <row r="38" spans="1:7" x14ac:dyDescent="0.3">
      <c r="A38" s="1">
        <v>46298</v>
      </c>
      <c r="B38" t="s">
        <v>58</v>
      </c>
      <c r="C38" t="s">
        <v>17</v>
      </c>
      <c r="D38" t="s">
        <v>12</v>
      </c>
      <c r="E38">
        <v>1</v>
      </c>
      <c r="F38">
        <v>1980</v>
      </c>
      <c r="G38">
        <f t="shared" si="0"/>
        <v>1980</v>
      </c>
    </row>
    <row r="39" spans="1:7" x14ac:dyDescent="0.3">
      <c r="A39" s="1">
        <v>46312</v>
      </c>
      <c r="B39" t="s">
        <v>59</v>
      </c>
      <c r="C39" t="s">
        <v>8</v>
      </c>
      <c r="D39" t="s">
        <v>9</v>
      </c>
      <c r="E39">
        <v>2</v>
      </c>
      <c r="F39">
        <v>1980</v>
      </c>
      <c r="G39">
        <f t="shared" si="0"/>
        <v>3960</v>
      </c>
    </row>
    <row r="40" spans="1:7" x14ac:dyDescent="0.3">
      <c r="A40" s="1">
        <v>46311</v>
      </c>
      <c r="B40" t="s">
        <v>60</v>
      </c>
      <c r="C40" t="s">
        <v>11</v>
      </c>
      <c r="D40" t="s">
        <v>12</v>
      </c>
      <c r="E40">
        <v>2</v>
      </c>
      <c r="F40">
        <v>2750</v>
      </c>
      <c r="G40">
        <f t="shared" si="0"/>
        <v>5500</v>
      </c>
    </row>
    <row r="41" spans="1:7" x14ac:dyDescent="0.3">
      <c r="A41" s="1">
        <v>46298</v>
      </c>
      <c r="B41" t="s">
        <v>61</v>
      </c>
      <c r="C41" t="s">
        <v>14</v>
      </c>
      <c r="D41" t="s">
        <v>15</v>
      </c>
      <c r="E41">
        <v>1</v>
      </c>
      <c r="F41">
        <v>4500</v>
      </c>
      <c r="G41">
        <f t="shared" si="0"/>
        <v>4500</v>
      </c>
    </row>
    <row r="42" spans="1:7" x14ac:dyDescent="0.3">
      <c r="A42" s="1">
        <v>46306</v>
      </c>
      <c r="B42" t="s">
        <v>62</v>
      </c>
      <c r="C42" t="s">
        <v>23</v>
      </c>
      <c r="D42" t="s">
        <v>9</v>
      </c>
      <c r="E42">
        <v>5</v>
      </c>
      <c r="F42">
        <v>760</v>
      </c>
      <c r="G42">
        <f t="shared" si="0"/>
        <v>3800</v>
      </c>
    </row>
    <row r="43" spans="1:7" x14ac:dyDescent="0.3">
      <c r="A43" s="1">
        <v>46319</v>
      </c>
      <c r="B43" t="s">
        <v>63</v>
      </c>
      <c r="C43" t="s">
        <v>48</v>
      </c>
      <c r="D43" t="s">
        <v>9</v>
      </c>
      <c r="E43">
        <v>3</v>
      </c>
      <c r="F43">
        <v>1200</v>
      </c>
      <c r="G43">
        <f t="shared" si="0"/>
        <v>3600</v>
      </c>
    </row>
    <row r="44" spans="1:7" x14ac:dyDescent="0.3">
      <c r="A44" s="1">
        <v>46326</v>
      </c>
      <c r="B44" t="s">
        <v>64</v>
      </c>
      <c r="C44" t="s">
        <v>8</v>
      </c>
      <c r="D44" t="s">
        <v>9</v>
      </c>
      <c r="E44">
        <v>1</v>
      </c>
      <c r="F44">
        <v>1890</v>
      </c>
      <c r="G44">
        <f t="shared" si="0"/>
        <v>1890</v>
      </c>
    </row>
    <row r="45" spans="1:7" x14ac:dyDescent="0.3">
      <c r="A45" s="1">
        <v>46302</v>
      </c>
      <c r="B45" t="s">
        <v>65</v>
      </c>
      <c r="C45" t="s">
        <v>33</v>
      </c>
      <c r="D45" t="s">
        <v>15</v>
      </c>
      <c r="E45">
        <v>5</v>
      </c>
      <c r="F45">
        <v>47500</v>
      </c>
      <c r="G45">
        <f t="shared" si="0"/>
        <v>237500</v>
      </c>
    </row>
    <row r="46" spans="1:7" x14ac:dyDescent="0.3">
      <c r="A46" s="1">
        <v>46324</v>
      </c>
      <c r="B46" t="s">
        <v>66</v>
      </c>
      <c r="C46" t="s">
        <v>35</v>
      </c>
      <c r="D46" t="s">
        <v>36</v>
      </c>
      <c r="E46">
        <v>2</v>
      </c>
      <c r="F46">
        <v>1500</v>
      </c>
      <c r="G46">
        <f t="shared" si="0"/>
        <v>3000</v>
      </c>
    </row>
    <row r="47" spans="1:7" x14ac:dyDescent="0.3">
      <c r="A47" s="1">
        <v>46306</v>
      </c>
      <c r="B47" t="s">
        <v>67</v>
      </c>
      <c r="C47" t="s">
        <v>23</v>
      </c>
      <c r="D47" t="s">
        <v>9</v>
      </c>
      <c r="E47">
        <v>4</v>
      </c>
      <c r="F47">
        <v>760</v>
      </c>
      <c r="G47">
        <f t="shared" si="0"/>
        <v>3040</v>
      </c>
    </row>
    <row r="48" spans="1:7" x14ac:dyDescent="0.3">
      <c r="A48" s="1">
        <v>46298</v>
      </c>
      <c r="B48" t="s">
        <v>68</v>
      </c>
      <c r="C48" t="s">
        <v>14</v>
      </c>
      <c r="D48" t="s">
        <v>15</v>
      </c>
      <c r="E48">
        <v>5</v>
      </c>
      <c r="F48">
        <v>4500</v>
      </c>
      <c r="G48">
        <f t="shared" si="0"/>
        <v>22500</v>
      </c>
    </row>
    <row r="49" spans="1:7" x14ac:dyDescent="0.3">
      <c r="A49" s="1">
        <v>46311</v>
      </c>
      <c r="B49" t="s">
        <v>69</v>
      </c>
      <c r="C49" t="s">
        <v>19</v>
      </c>
      <c r="D49" t="s">
        <v>9</v>
      </c>
      <c r="E49">
        <v>2</v>
      </c>
      <c r="F49">
        <v>2310</v>
      </c>
      <c r="G49">
        <f t="shared" si="0"/>
        <v>4620</v>
      </c>
    </row>
    <row r="50" spans="1:7" x14ac:dyDescent="0.3">
      <c r="A50" s="1">
        <v>46299</v>
      </c>
      <c r="B50" t="s">
        <v>70</v>
      </c>
      <c r="C50" t="s">
        <v>25</v>
      </c>
      <c r="D50" t="s">
        <v>15</v>
      </c>
      <c r="E50">
        <v>5</v>
      </c>
      <c r="F50">
        <v>26250</v>
      </c>
      <c r="G50">
        <f t="shared" si="0"/>
        <v>131250</v>
      </c>
    </row>
    <row r="51" spans="1:7" x14ac:dyDescent="0.3">
      <c r="A51" s="1">
        <v>46316</v>
      </c>
      <c r="B51" t="s">
        <v>71</v>
      </c>
      <c r="C51" t="s">
        <v>31</v>
      </c>
      <c r="D51" t="s">
        <v>15</v>
      </c>
      <c r="E51">
        <v>4</v>
      </c>
      <c r="F51">
        <v>2750</v>
      </c>
      <c r="G51">
        <f t="shared" si="0"/>
        <v>11000</v>
      </c>
    </row>
    <row r="52" spans="1:7" x14ac:dyDescent="0.3">
      <c r="A52" s="1">
        <v>46319</v>
      </c>
      <c r="B52" t="s">
        <v>72</v>
      </c>
      <c r="C52" t="s">
        <v>25</v>
      </c>
      <c r="D52" t="s">
        <v>15</v>
      </c>
      <c r="E52">
        <v>4</v>
      </c>
      <c r="F52">
        <v>27500</v>
      </c>
      <c r="G52">
        <f t="shared" si="0"/>
        <v>110000</v>
      </c>
    </row>
    <row r="53" spans="1:7" x14ac:dyDescent="0.3">
      <c r="A53" s="1">
        <v>46308</v>
      </c>
      <c r="B53" t="s">
        <v>73</v>
      </c>
      <c r="C53" t="s">
        <v>8</v>
      </c>
      <c r="D53" t="s">
        <v>9</v>
      </c>
      <c r="E53">
        <v>4</v>
      </c>
      <c r="F53">
        <v>1800</v>
      </c>
      <c r="G53">
        <f t="shared" si="0"/>
        <v>7200</v>
      </c>
    </row>
    <row r="54" spans="1:7" x14ac:dyDescent="0.3">
      <c r="A54" s="1">
        <v>46297</v>
      </c>
      <c r="B54" t="s">
        <v>74</v>
      </c>
      <c r="C54" t="s">
        <v>14</v>
      </c>
      <c r="D54" t="s">
        <v>15</v>
      </c>
      <c r="E54">
        <v>1</v>
      </c>
      <c r="F54">
        <v>4720</v>
      </c>
      <c r="G54">
        <f t="shared" si="0"/>
        <v>4720</v>
      </c>
    </row>
    <row r="55" spans="1:7" x14ac:dyDescent="0.3">
      <c r="A55" s="1">
        <v>46299</v>
      </c>
      <c r="B55" t="s">
        <v>75</v>
      </c>
      <c r="C55" t="s">
        <v>25</v>
      </c>
      <c r="D55" t="s">
        <v>15</v>
      </c>
      <c r="E55">
        <v>2</v>
      </c>
      <c r="F55">
        <v>23750</v>
      </c>
      <c r="G55">
        <f t="shared" si="0"/>
        <v>47500</v>
      </c>
    </row>
    <row r="56" spans="1:7" x14ac:dyDescent="0.3">
      <c r="A56" s="1">
        <v>46318</v>
      </c>
      <c r="B56" t="s">
        <v>76</v>
      </c>
      <c r="C56" t="s">
        <v>35</v>
      </c>
      <c r="D56" t="s">
        <v>36</v>
      </c>
      <c r="E56">
        <v>5</v>
      </c>
      <c r="F56">
        <v>1420</v>
      </c>
      <c r="G56">
        <f t="shared" si="0"/>
        <v>7100</v>
      </c>
    </row>
    <row r="57" spans="1:7" x14ac:dyDescent="0.3">
      <c r="A57" s="1">
        <v>46316</v>
      </c>
      <c r="B57" t="s">
        <v>77</v>
      </c>
      <c r="C57" t="s">
        <v>8</v>
      </c>
      <c r="D57" t="s">
        <v>9</v>
      </c>
      <c r="E57">
        <v>4</v>
      </c>
      <c r="F57">
        <v>1980</v>
      </c>
      <c r="G57">
        <f t="shared" si="0"/>
        <v>7920</v>
      </c>
    </row>
    <row r="58" spans="1:7" x14ac:dyDescent="0.3">
      <c r="A58" s="1">
        <v>46298</v>
      </c>
      <c r="B58" t="s">
        <v>78</v>
      </c>
      <c r="C58" t="s">
        <v>11</v>
      </c>
      <c r="D58" t="s">
        <v>12</v>
      </c>
      <c r="E58">
        <v>5</v>
      </c>
      <c r="F58">
        <v>2750</v>
      </c>
      <c r="G58">
        <f t="shared" si="0"/>
        <v>13750</v>
      </c>
    </row>
    <row r="59" spans="1:7" x14ac:dyDescent="0.3">
      <c r="A59" s="1">
        <v>46322</v>
      </c>
      <c r="B59" t="s">
        <v>79</v>
      </c>
      <c r="C59" t="s">
        <v>11</v>
      </c>
      <c r="D59" t="s">
        <v>12</v>
      </c>
      <c r="E59">
        <v>5</v>
      </c>
      <c r="F59">
        <v>2500</v>
      </c>
      <c r="G59">
        <f t="shared" si="0"/>
        <v>12500</v>
      </c>
    </row>
    <row r="60" spans="1:7" x14ac:dyDescent="0.3">
      <c r="A60" s="1">
        <v>46312</v>
      </c>
      <c r="B60" t="s">
        <v>80</v>
      </c>
      <c r="C60" t="s">
        <v>14</v>
      </c>
      <c r="D60" t="s">
        <v>15</v>
      </c>
      <c r="E60">
        <v>3</v>
      </c>
      <c r="F60">
        <v>4950</v>
      </c>
      <c r="G60">
        <f t="shared" si="0"/>
        <v>14850</v>
      </c>
    </row>
    <row r="61" spans="1:7" x14ac:dyDescent="0.3">
      <c r="A61" s="1">
        <v>46308</v>
      </c>
      <c r="B61" t="s">
        <v>81</v>
      </c>
      <c r="C61" t="s">
        <v>11</v>
      </c>
      <c r="D61" t="s">
        <v>12</v>
      </c>
      <c r="E61">
        <v>5</v>
      </c>
      <c r="F61">
        <v>2500</v>
      </c>
      <c r="G61">
        <f t="shared" si="0"/>
        <v>12500</v>
      </c>
    </row>
    <row r="62" spans="1:7" x14ac:dyDescent="0.3">
      <c r="A62" s="1">
        <v>46296</v>
      </c>
      <c r="B62" t="s">
        <v>82</v>
      </c>
      <c r="C62" t="s">
        <v>48</v>
      </c>
      <c r="D62" t="s">
        <v>9</v>
      </c>
      <c r="E62">
        <v>5</v>
      </c>
      <c r="F62">
        <v>1200</v>
      </c>
      <c r="G62">
        <f t="shared" si="0"/>
        <v>6000</v>
      </c>
    </row>
    <row r="63" spans="1:7" x14ac:dyDescent="0.3">
      <c r="A63" s="1">
        <v>46325</v>
      </c>
      <c r="B63" t="s">
        <v>83</v>
      </c>
      <c r="C63" t="s">
        <v>25</v>
      </c>
      <c r="D63" t="s">
        <v>15</v>
      </c>
      <c r="E63">
        <v>3</v>
      </c>
      <c r="F63">
        <v>26250</v>
      </c>
      <c r="G63">
        <f t="shared" si="0"/>
        <v>78750</v>
      </c>
    </row>
    <row r="64" spans="1:7" x14ac:dyDescent="0.3">
      <c r="A64" s="1">
        <v>46303</v>
      </c>
      <c r="B64" t="s">
        <v>84</v>
      </c>
      <c r="C64" t="s">
        <v>17</v>
      </c>
      <c r="D64" t="s">
        <v>12</v>
      </c>
      <c r="E64">
        <v>3</v>
      </c>
      <c r="F64">
        <v>1710</v>
      </c>
      <c r="G64">
        <f t="shared" si="0"/>
        <v>5130</v>
      </c>
    </row>
    <row r="65" spans="1:7" x14ac:dyDescent="0.3">
      <c r="A65" s="1">
        <v>46313</v>
      </c>
      <c r="B65" t="s">
        <v>85</v>
      </c>
      <c r="C65" t="s">
        <v>23</v>
      </c>
      <c r="D65" t="s">
        <v>9</v>
      </c>
      <c r="E65">
        <v>3</v>
      </c>
      <c r="F65">
        <v>800</v>
      </c>
      <c r="G65">
        <f t="shared" si="0"/>
        <v>2400</v>
      </c>
    </row>
    <row r="66" spans="1:7" x14ac:dyDescent="0.3">
      <c r="A66" s="1">
        <v>46312</v>
      </c>
      <c r="B66" t="s">
        <v>86</v>
      </c>
      <c r="C66" t="s">
        <v>48</v>
      </c>
      <c r="D66" t="s">
        <v>9</v>
      </c>
      <c r="E66">
        <v>3</v>
      </c>
      <c r="F66">
        <v>1200</v>
      </c>
      <c r="G66">
        <f t="shared" si="0"/>
        <v>3600</v>
      </c>
    </row>
    <row r="67" spans="1:7" x14ac:dyDescent="0.3">
      <c r="A67" s="1">
        <v>46316</v>
      </c>
      <c r="B67" t="s">
        <v>87</v>
      </c>
      <c r="C67" t="s">
        <v>25</v>
      </c>
      <c r="D67" t="s">
        <v>15</v>
      </c>
      <c r="E67">
        <v>2</v>
      </c>
      <c r="F67">
        <v>26250</v>
      </c>
      <c r="G67">
        <f t="shared" ref="G67:G129" si="1">E67*F67</f>
        <v>52500</v>
      </c>
    </row>
    <row r="68" spans="1:7" x14ac:dyDescent="0.3">
      <c r="A68" s="1">
        <v>46307</v>
      </c>
      <c r="B68" t="s">
        <v>88</v>
      </c>
      <c r="C68" t="s">
        <v>23</v>
      </c>
      <c r="D68" t="s">
        <v>9</v>
      </c>
      <c r="E68">
        <v>5</v>
      </c>
      <c r="F68">
        <v>800</v>
      </c>
      <c r="G68">
        <f t="shared" si="1"/>
        <v>4000</v>
      </c>
    </row>
    <row r="69" spans="1:7" x14ac:dyDescent="0.3">
      <c r="A69" s="1">
        <v>46302</v>
      </c>
      <c r="B69" t="s">
        <v>89</v>
      </c>
      <c r="C69" t="s">
        <v>48</v>
      </c>
      <c r="D69" t="s">
        <v>9</v>
      </c>
      <c r="E69">
        <v>4</v>
      </c>
      <c r="F69">
        <v>1320</v>
      </c>
      <c r="G69">
        <f t="shared" si="1"/>
        <v>5280</v>
      </c>
    </row>
    <row r="70" spans="1:7" x14ac:dyDescent="0.3">
      <c r="A70" s="1">
        <v>46308</v>
      </c>
      <c r="B70" t="s">
        <v>90</v>
      </c>
      <c r="C70" t="s">
        <v>17</v>
      </c>
      <c r="D70" t="s">
        <v>12</v>
      </c>
      <c r="E70">
        <v>5</v>
      </c>
      <c r="F70">
        <v>1800</v>
      </c>
      <c r="G70">
        <f t="shared" si="1"/>
        <v>9000</v>
      </c>
    </row>
    <row r="71" spans="1:7" x14ac:dyDescent="0.3">
      <c r="A71" s="1">
        <v>46322</v>
      </c>
      <c r="B71" t="s">
        <v>91</v>
      </c>
      <c r="C71" t="s">
        <v>17</v>
      </c>
      <c r="D71" t="s">
        <v>12</v>
      </c>
      <c r="E71">
        <v>5</v>
      </c>
      <c r="F71">
        <v>1980</v>
      </c>
      <c r="G71">
        <f t="shared" si="1"/>
        <v>9900</v>
      </c>
    </row>
    <row r="72" spans="1:7" x14ac:dyDescent="0.3">
      <c r="A72" s="1">
        <v>46307</v>
      </c>
      <c r="B72" t="s">
        <v>92</v>
      </c>
      <c r="C72" t="s">
        <v>17</v>
      </c>
      <c r="D72" t="s">
        <v>12</v>
      </c>
      <c r="E72">
        <v>4</v>
      </c>
      <c r="F72">
        <v>1800</v>
      </c>
      <c r="G72">
        <f t="shared" si="1"/>
        <v>7200</v>
      </c>
    </row>
    <row r="73" spans="1:7" x14ac:dyDescent="0.3">
      <c r="A73" s="1">
        <v>46311</v>
      </c>
      <c r="B73" t="s">
        <v>93</v>
      </c>
      <c r="C73" t="s">
        <v>94</v>
      </c>
      <c r="D73" t="s">
        <v>36</v>
      </c>
      <c r="E73">
        <v>5</v>
      </c>
      <c r="F73">
        <v>2850</v>
      </c>
      <c r="G73">
        <f t="shared" si="1"/>
        <v>14250</v>
      </c>
    </row>
    <row r="74" spans="1:7" x14ac:dyDescent="0.3">
      <c r="A74" s="1">
        <v>46304</v>
      </c>
      <c r="B74" t="s">
        <v>95</v>
      </c>
      <c r="C74" t="s">
        <v>31</v>
      </c>
      <c r="D74" t="s">
        <v>15</v>
      </c>
      <c r="E74">
        <v>1</v>
      </c>
      <c r="F74">
        <v>2620</v>
      </c>
      <c r="G74">
        <f t="shared" si="1"/>
        <v>2620</v>
      </c>
    </row>
    <row r="75" spans="1:7" x14ac:dyDescent="0.3">
      <c r="A75" s="1">
        <v>46319</v>
      </c>
      <c r="B75" t="s">
        <v>96</v>
      </c>
      <c r="C75" t="s">
        <v>48</v>
      </c>
      <c r="D75" t="s">
        <v>9</v>
      </c>
      <c r="E75">
        <v>4</v>
      </c>
      <c r="F75">
        <v>1140</v>
      </c>
      <c r="G75">
        <f t="shared" si="1"/>
        <v>4560</v>
      </c>
    </row>
    <row r="76" spans="1:7" x14ac:dyDescent="0.3">
      <c r="A76" s="1">
        <v>46315</v>
      </c>
      <c r="B76" t="s">
        <v>97</v>
      </c>
      <c r="C76" t="s">
        <v>48</v>
      </c>
      <c r="D76" t="s">
        <v>9</v>
      </c>
      <c r="E76">
        <v>3</v>
      </c>
      <c r="F76">
        <v>1200</v>
      </c>
      <c r="G76">
        <f t="shared" si="1"/>
        <v>3600</v>
      </c>
    </row>
    <row r="77" spans="1:7" x14ac:dyDescent="0.3">
      <c r="A77" s="1">
        <v>46321</v>
      </c>
      <c r="B77" t="s">
        <v>98</v>
      </c>
      <c r="C77" t="s">
        <v>94</v>
      </c>
      <c r="D77" t="s">
        <v>36</v>
      </c>
      <c r="E77">
        <v>3</v>
      </c>
      <c r="F77">
        <v>3000</v>
      </c>
      <c r="G77">
        <f t="shared" si="1"/>
        <v>9000</v>
      </c>
    </row>
    <row r="78" spans="1:7" x14ac:dyDescent="0.3">
      <c r="A78" s="1">
        <v>46324</v>
      </c>
      <c r="B78" t="s">
        <v>99</v>
      </c>
      <c r="C78" t="s">
        <v>17</v>
      </c>
      <c r="D78" t="s">
        <v>12</v>
      </c>
      <c r="E78">
        <v>4</v>
      </c>
      <c r="F78">
        <v>1800</v>
      </c>
      <c r="G78">
        <f t="shared" si="1"/>
        <v>7200</v>
      </c>
    </row>
    <row r="79" spans="1:7" x14ac:dyDescent="0.3">
      <c r="A79" s="1">
        <v>46307</v>
      </c>
      <c r="B79" t="s">
        <v>100</v>
      </c>
      <c r="C79" t="s">
        <v>14</v>
      </c>
      <c r="D79" t="s">
        <v>15</v>
      </c>
      <c r="E79">
        <v>2</v>
      </c>
      <c r="F79">
        <v>4950</v>
      </c>
      <c r="G79">
        <f t="shared" si="1"/>
        <v>9900</v>
      </c>
    </row>
    <row r="80" spans="1:7" x14ac:dyDescent="0.3">
      <c r="A80" s="1">
        <v>46319</v>
      </c>
      <c r="B80" t="s">
        <v>101</v>
      </c>
      <c r="C80" t="s">
        <v>19</v>
      </c>
      <c r="D80" t="s">
        <v>9</v>
      </c>
      <c r="E80">
        <v>2</v>
      </c>
      <c r="F80">
        <v>2200</v>
      </c>
      <c r="G80">
        <f t="shared" si="1"/>
        <v>4400</v>
      </c>
    </row>
    <row r="81" spans="1:7" x14ac:dyDescent="0.3">
      <c r="A81" s="1">
        <v>46322</v>
      </c>
      <c r="B81" t="s">
        <v>102</v>
      </c>
      <c r="C81" t="s">
        <v>35</v>
      </c>
      <c r="D81" t="s">
        <v>36</v>
      </c>
      <c r="E81">
        <v>5</v>
      </c>
      <c r="F81">
        <v>1500</v>
      </c>
      <c r="G81">
        <f t="shared" si="1"/>
        <v>7500</v>
      </c>
    </row>
    <row r="82" spans="1:7" x14ac:dyDescent="0.3">
      <c r="A82" s="1">
        <v>46307</v>
      </c>
      <c r="B82" t="s">
        <v>103</v>
      </c>
      <c r="C82" t="s">
        <v>19</v>
      </c>
      <c r="D82" t="s">
        <v>9</v>
      </c>
      <c r="E82">
        <v>1</v>
      </c>
      <c r="F82">
        <v>2090</v>
      </c>
      <c r="G82">
        <f t="shared" si="1"/>
        <v>2090</v>
      </c>
    </row>
    <row r="83" spans="1:7" x14ac:dyDescent="0.3">
      <c r="A83" s="1">
        <v>46308</v>
      </c>
      <c r="B83" t="s">
        <v>104</v>
      </c>
      <c r="C83" t="s">
        <v>25</v>
      </c>
      <c r="D83" t="s">
        <v>15</v>
      </c>
      <c r="E83">
        <v>2</v>
      </c>
      <c r="F83">
        <v>27500</v>
      </c>
      <c r="G83">
        <f t="shared" si="1"/>
        <v>55000</v>
      </c>
    </row>
    <row r="84" spans="1:7" x14ac:dyDescent="0.3">
      <c r="A84" s="1">
        <v>46309</v>
      </c>
      <c r="B84" t="s">
        <v>105</v>
      </c>
      <c r="C84" t="s">
        <v>33</v>
      </c>
      <c r="D84" t="s">
        <v>15</v>
      </c>
      <c r="E84">
        <v>2</v>
      </c>
      <c r="F84">
        <v>47500</v>
      </c>
      <c r="G84">
        <f t="shared" si="1"/>
        <v>95000</v>
      </c>
    </row>
    <row r="85" spans="1:7" x14ac:dyDescent="0.3">
      <c r="A85" s="1">
        <v>46315</v>
      </c>
      <c r="B85" t="s">
        <v>106</v>
      </c>
      <c r="C85" t="s">
        <v>14</v>
      </c>
      <c r="D85" t="s">
        <v>15</v>
      </c>
      <c r="E85">
        <v>3</v>
      </c>
      <c r="F85">
        <v>4280</v>
      </c>
      <c r="G85">
        <f t="shared" si="1"/>
        <v>12840</v>
      </c>
    </row>
    <row r="86" spans="1:7" x14ac:dyDescent="0.3">
      <c r="A86" s="1">
        <v>46299</v>
      </c>
      <c r="B86" t="s">
        <v>107</v>
      </c>
      <c r="C86" t="s">
        <v>19</v>
      </c>
      <c r="D86" t="s">
        <v>9</v>
      </c>
      <c r="E86">
        <v>4</v>
      </c>
      <c r="F86">
        <v>2200</v>
      </c>
      <c r="G86">
        <f t="shared" si="1"/>
        <v>8800</v>
      </c>
    </row>
    <row r="87" spans="1:7" x14ac:dyDescent="0.3">
      <c r="A87" s="1">
        <v>46325</v>
      </c>
      <c r="B87" t="s">
        <v>108</v>
      </c>
      <c r="C87" t="s">
        <v>35</v>
      </c>
      <c r="D87" t="s">
        <v>36</v>
      </c>
      <c r="E87">
        <v>1</v>
      </c>
      <c r="F87">
        <v>1500</v>
      </c>
      <c r="G87">
        <f t="shared" si="1"/>
        <v>1500</v>
      </c>
    </row>
    <row r="88" spans="1:7" x14ac:dyDescent="0.3">
      <c r="A88" s="1">
        <v>46315</v>
      </c>
      <c r="B88" t="s">
        <v>109</v>
      </c>
      <c r="C88" t="s">
        <v>8</v>
      </c>
      <c r="D88" t="s">
        <v>9</v>
      </c>
      <c r="E88">
        <v>1</v>
      </c>
      <c r="F88">
        <v>1800</v>
      </c>
      <c r="G88">
        <f t="shared" si="1"/>
        <v>1800</v>
      </c>
    </row>
    <row r="89" spans="1:7" x14ac:dyDescent="0.3">
      <c r="A89" s="1">
        <v>46321</v>
      </c>
      <c r="B89" t="s">
        <v>110</v>
      </c>
      <c r="C89" t="s">
        <v>33</v>
      </c>
      <c r="D89" t="s">
        <v>15</v>
      </c>
      <c r="E89">
        <v>1</v>
      </c>
      <c r="F89">
        <v>50000</v>
      </c>
      <c r="G89">
        <f t="shared" si="1"/>
        <v>50000</v>
      </c>
    </row>
    <row r="90" spans="1:7" x14ac:dyDescent="0.3">
      <c r="A90" s="1">
        <v>46316</v>
      </c>
      <c r="B90" t="s">
        <v>111</v>
      </c>
      <c r="C90" t="s">
        <v>8</v>
      </c>
      <c r="D90" t="s">
        <v>9</v>
      </c>
      <c r="E90">
        <v>1</v>
      </c>
      <c r="F90">
        <v>1800</v>
      </c>
      <c r="G90">
        <f t="shared" si="1"/>
        <v>1800</v>
      </c>
    </row>
    <row r="91" spans="1:7" x14ac:dyDescent="0.3">
      <c r="A91" s="1">
        <v>46319</v>
      </c>
      <c r="B91" t="s">
        <v>112</v>
      </c>
      <c r="C91" t="s">
        <v>33</v>
      </c>
      <c r="D91" t="s">
        <v>15</v>
      </c>
      <c r="E91">
        <v>5</v>
      </c>
      <c r="F91">
        <v>50000</v>
      </c>
      <c r="G91">
        <f t="shared" si="1"/>
        <v>250000</v>
      </c>
    </row>
    <row r="92" spans="1:7" x14ac:dyDescent="0.3">
      <c r="A92" s="1">
        <v>46303</v>
      </c>
      <c r="B92" t="s">
        <v>113</v>
      </c>
      <c r="C92" t="s">
        <v>48</v>
      </c>
      <c r="D92" t="s">
        <v>9</v>
      </c>
      <c r="E92">
        <v>3</v>
      </c>
      <c r="F92">
        <v>1200</v>
      </c>
      <c r="G92">
        <f t="shared" si="1"/>
        <v>3600</v>
      </c>
    </row>
    <row r="93" spans="1:7" x14ac:dyDescent="0.3">
      <c r="A93" s="1">
        <v>46298</v>
      </c>
      <c r="B93" t="s">
        <v>114</v>
      </c>
      <c r="C93" t="s">
        <v>94</v>
      </c>
      <c r="D93" t="s">
        <v>36</v>
      </c>
      <c r="E93">
        <v>1</v>
      </c>
      <c r="F93">
        <v>3300</v>
      </c>
      <c r="G93">
        <f t="shared" si="1"/>
        <v>3300</v>
      </c>
    </row>
    <row r="94" spans="1:7" x14ac:dyDescent="0.3">
      <c r="A94" s="1">
        <v>46307</v>
      </c>
      <c r="B94" t="s">
        <v>115</v>
      </c>
      <c r="C94" t="s">
        <v>23</v>
      </c>
      <c r="D94" t="s">
        <v>9</v>
      </c>
      <c r="E94">
        <v>2</v>
      </c>
      <c r="F94">
        <v>800</v>
      </c>
      <c r="G94">
        <f t="shared" si="1"/>
        <v>1600</v>
      </c>
    </row>
    <row r="95" spans="1:7" x14ac:dyDescent="0.3">
      <c r="A95" s="1">
        <v>46304</v>
      </c>
      <c r="B95" t="s">
        <v>116</v>
      </c>
      <c r="C95" t="s">
        <v>23</v>
      </c>
      <c r="D95" t="s">
        <v>9</v>
      </c>
      <c r="E95">
        <v>2</v>
      </c>
      <c r="F95">
        <v>840</v>
      </c>
      <c r="G95">
        <f t="shared" si="1"/>
        <v>1680</v>
      </c>
    </row>
    <row r="96" spans="1:7" x14ac:dyDescent="0.3">
      <c r="A96" s="1">
        <v>46319</v>
      </c>
      <c r="B96" t="s">
        <v>117</v>
      </c>
      <c r="C96" t="s">
        <v>25</v>
      </c>
      <c r="D96" t="s">
        <v>15</v>
      </c>
      <c r="E96">
        <v>1</v>
      </c>
      <c r="F96">
        <v>27500</v>
      </c>
      <c r="G96">
        <f t="shared" si="1"/>
        <v>27500</v>
      </c>
    </row>
    <row r="97" spans="1:7" x14ac:dyDescent="0.3">
      <c r="A97" s="1">
        <v>46303</v>
      </c>
      <c r="B97" t="s">
        <v>118</v>
      </c>
      <c r="C97" t="s">
        <v>25</v>
      </c>
      <c r="D97" t="s">
        <v>15</v>
      </c>
      <c r="E97">
        <v>3</v>
      </c>
      <c r="F97">
        <v>25000</v>
      </c>
      <c r="G97">
        <f t="shared" si="1"/>
        <v>75000</v>
      </c>
    </row>
    <row r="98" spans="1:7" x14ac:dyDescent="0.3">
      <c r="A98" s="1">
        <v>46306</v>
      </c>
      <c r="B98" t="s">
        <v>119</v>
      </c>
      <c r="C98" t="s">
        <v>11</v>
      </c>
      <c r="D98" t="s">
        <v>12</v>
      </c>
      <c r="E98">
        <v>2</v>
      </c>
      <c r="F98">
        <v>2380</v>
      </c>
      <c r="G98">
        <f t="shared" si="1"/>
        <v>4760</v>
      </c>
    </row>
    <row r="99" spans="1:7" x14ac:dyDescent="0.3">
      <c r="A99" s="1">
        <v>46326</v>
      </c>
      <c r="B99" t="s">
        <v>120</v>
      </c>
      <c r="C99" t="s">
        <v>33</v>
      </c>
      <c r="D99" t="s">
        <v>15</v>
      </c>
      <c r="E99">
        <v>1</v>
      </c>
      <c r="F99">
        <v>55000</v>
      </c>
      <c r="G99">
        <f t="shared" si="1"/>
        <v>55000</v>
      </c>
    </row>
    <row r="100" spans="1:7" x14ac:dyDescent="0.3">
      <c r="A100" s="1">
        <v>46321</v>
      </c>
      <c r="B100" t="s">
        <v>121</v>
      </c>
      <c r="C100" t="s">
        <v>11</v>
      </c>
      <c r="D100" t="s">
        <v>12</v>
      </c>
      <c r="E100">
        <v>2</v>
      </c>
      <c r="F100">
        <v>2500</v>
      </c>
      <c r="G100">
        <f t="shared" si="1"/>
        <v>5000</v>
      </c>
    </row>
    <row r="101" spans="1:7" x14ac:dyDescent="0.3">
      <c r="A101" s="1">
        <v>46313</v>
      </c>
      <c r="B101" t="s">
        <v>122</v>
      </c>
      <c r="C101" t="s">
        <v>17</v>
      </c>
      <c r="D101" t="s">
        <v>12</v>
      </c>
      <c r="E101">
        <v>3</v>
      </c>
      <c r="F101">
        <v>1800</v>
      </c>
      <c r="G101">
        <f t="shared" si="1"/>
        <v>5400</v>
      </c>
    </row>
    <row r="102" spans="1:7" x14ac:dyDescent="0.3">
      <c r="A102" s="1">
        <v>46324</v>
      </c>
      <c r="B102" t="s">
        <v>123</v>
      </c>
      <c r="C102" t="s">
        <v>14</v>
      </c>
      <c r="D102" t="s">
        <v>15</v>
      </c>
      <c r="E102">
        <v>5</v>
      </c>
      <c r="F102">
        <v>4720</v>
      </c>
      <c r="G102">
        <f t="shared" si="1"/>
        <v>23600</v>
      </c>
    </row>
    <row r="103" spans="1:7" x14ac:dyDescent="0.3">
      <c r="A103" s="1">
        <v>46299</v>
      </c>
      <c r="B103" t="s">
        <v>124</v>
      </c>
      <c r="C103" t="s">
        <v>35</v>
      </c>
      <c r="D103" t="s">
        <v>36</v>
      </c>
      <c r="E103">
        <v>1</v>
      </c>
      <c r="F103">
        <v>1500</v>
      </c>
      <c r="G103">
        <f t="shared" si="1"/>
        <v>1500</v>
      </c>
    </row>
    <row r="104" spans="1:7" x14ac:dyDescent="0.3">
      <c r="A104" s="1">
        <v>46325</v>
      </c>
      <c r="B104" t="s">
        <v>125</v>
      </c>
      <c r="C104" t="s">
        <v>11</v>
      </c>
      <c r="D104" t="s">
        <v>12</v>
      </c>
      <c r="E104">
        <v>2</v>
      </c>
      <c r="F104">
        <v>2500</v>
      </c>
      <c r="G104">
        <f t="shared" si="1"/>
        <v>5000</v>
      </c>
    </row>
    <row r="105" spans="1:7" x14ac:dyDescent="0.3">
      <c r="A105" s="1">
        <v>46306</v>
      </c>
      <c r="B105" t="s">
        <v>126</v>
      </c>
      <c r="C105" t="s">
        <v>14</v>
      </c>
      <c r="D105" t="s">
        <v>15</v>
      </c>
      <c r="E105">
        <v>4</v>
      </c>
      <c r="F105">
        <v>4500</v>
      </c>
      <c r="G105">
        <f t="shared" si="1"/>
        <v>18000</v>
      </c>
    </row>
    <row r="106" spans="1:7" x14ac:dyDescent="0.3">
      <c r="A106" s="1">
        <v>46301</v>
      </c>
      <c r="B106" t="s">
        <v>127</v>
      </c>
      <c r="C106" t="s">
        <v>31</v>
      </c>
      <c r="D106" t="s">
        <v>15</v>
      </c>
      <c r="E106">
        <v>4</v>
      </c>
      <c r="F106">
        <v>2380</v>
      </c>
      <c r="G106">
        <f t="shared" si="1"/>
        <v>9520</v>
      </c>
    </row>
    <row r="107" spans="1:7" x14ac:dyDescent="0.3">
      <c r="A107" s="1">
        <v>46318</v>
      </c>
      <c r="B107" t="s">
        <v>128</v>
      </c>
      <c r="C107" t="s">
        <v>19</v>
      </c>
      <c r="D107" t="s">
        <v>9</v>
      </c>
      <c r="E107">
        <v>5</v>
      </c>
      <c r="F107">
        <v>2420</v>
      </c>
      <c r="G107">
        <f t="shared" si="1"/>
        <v>12100</v>
      </c>
    </row>
    <row r="108" spans="1:7" x14ac:dyDescent="0.3">
      <c r="A108" s="1">
        <v>46305</v>
      </c>
      <c r="B108" t="s">
        <v>129</v>
      </c>
      <c r="C108" t="s">
        <v>23</v>
      </c>
      <c r="D108" t="s">
        <v>9</v>
      </c>
      <c r="E108">
        <v>4</v>
      </c>
      <c r="F108">
        <v>880</v>
      </c>
      <c r="G108">
        <f t="shared" si="1"/>
        <v>3520</v>
      </c>
    </row>
    <row r="109" spans="1:7" x14ac:dyDescent="0.3">
      <c r="A109" s="1">
        <v>46317</v>
      </c>
      <c r="B109" t="s">
        <v>130</v>
      </c>
      <c r="C109" t="s">
        <v>11</v>
      </c>
      <c r="D109" t="s">
        <v>12</v>
      </c>
      <c r="E109">
        <v>3</v>
      </c>
      <c r="F109">
        <v>2750</v>
      </c>
      <c r="G109">
        <f t="shared" si="1"/>
        <v>8250</v>
      </c>
    </row>
    <row r="110" spans="1:7" x14ac:dyDescent="0.3">
      <c r="A110" s="1">
        <v>46318</v>
      </c>
      <c r="B110" t="s">
        <v>131</v>
      </c>
      <c r="C110" t="s">
        <v>19</v>
      </c>
      <c r="D110" t="s">
        <v>9</v>
      </c>
      <c r="E110">
        <v>3</v>
      </c>
      <c r="F110">
        <v>2420</v>
      </c>
      <c r="G110">
        <f t="shared" si="1"/>
        <v>7260</v>
      </c>
    </row>
    <row r="111" spans="1:7" x14ac:dyDescent="0.3">
      <c r="A111" s="1">
        <v>46301</v>
      </c>
      <c r="B111" t="s">
        <v>132</v>
      </c>
      <c r="C111" t="s">
        <v>48</v>
      </c>
      <c r="D111" t="s">
        <v>9</v>
      </c>
      <c r="E111">
        <v>3</v>
      </c>
      <c r="F111">
        <v>1260</v>
      </c>
      <c r="G111">
        <f t="shared" si="1"/>
        <v>3780</v>
      </c>
    </row>
    <row r="112" spans="1:7" x14ac:dyDescent="0.3">
      <c r="A112" s="1">
        <v>46322</v>
      </c>
      <c r="B112" t="s">
        <v>133</v>
      </c>
      <c r="C112" t="s">
        <v>31</v>
      </c>
      <c r="D112" t="s">
        <v>15</v>
      </c>
      <c r="E112">
        <v>3</v>
      </c>
      <c r="F112">
        <v>2620</v>
      </c>
      <c r="G112">
        <f t="shared" si="1"/>
        <v>7860</v>
      </c>
    </row>
    <row r="113" spans="1:7" x14ac:dyDescent="0.3">
      <c r="A113" s="1">
        <v>46316</v>
      </c>
      <c r="B113" t="s">
        <v>134</v>
      </c>
      <c r="C113" t="s">
        <v>94</v>
      </c>
      <c r="D113" t="s">
        <v>36</v>
      </c>
      <c r="E113">
        <v>5</v>
      </c>
      <c r="F113">
        <v>3300</v>
      </c>
      <c r="G113">
        <f t="shared" si="1"/>
        <v>16500</v>
      </c>
    </row>
    <row r="114" spans="1:7" x14ac:dyDescent="0.3">
      <c r="A114" s="1">
        <v>46305</v>
      </c>
      <c r="B114" t="s">
        <v>135</v>
      </c>
      <c r="C114" t="s">
        <v>14</v>
      </c>
      <c r="D114" t="s">
        <v>15</v>
      </c>
      <c r="E114">
        <v>5</v>
      </c>
      <c r="F114">
        <v>4950</v>
      </c>
      <c r="G114">
        <f t="shared" si="1"/>
        <v>24750</v>
      </c>
    </row>
    <row r="115" spans="1:7" x14ac:dyDescent="0.3">
      <c r="A115" s="1">
        <v>46308</v>
      </c>
      <c r="B115" t="s">
        <v>136</v>
      </c>
      <c r="C115" t="s">
        <v>31</v>
      </c>
      <c r="D115" t="s">
        <v>15</v>
      </c>
      <c r="E115">
        <v>4</v>
      </c>
      <c r="F115">
        <v>2620</v>
      </c>
      <c r="G115">
        <f t="shared" si="1"/>
        <v>10480</v>
      </c>
    </row>
    <row r="116" spans="1:7" x14ac:dyDescent="0.3">
      <c r="A116" s="1">
        <v>46299</v>
      </c>
      <c r="B116" t="s">
        <v>137</v>
      </c>
      <c r="C116" t="s">
        <v>48</v>
      </c>
      <c r="D116" t="s">
        <v>9</v>
      </c>
      <c r="E116">
        <v>4</v>
      </c>
      <c r="F116">
        <v>1140</v>
      </c>
      <c r="G116">
        <f t="shared" si="1"/>
        <v>4560</v>
      </c>
    </row>
    <row r="117" spans="1:7" x14ac:dyDescent="0.3">
      <c r="A117" s="1">
        <v>46297</v>
      </c>
      <c r="B117" t="s">
        <v>138</v>
      </c>
      <c r="C117" t="s">
        <v>8</v>
      </c>
      <c r="D117" t="s">
        <v>9</v>
      </c>
      <c r="E117">
        <v>5</v>
      </c>
      <c r="F117">
        <v>1800</v>
      </c>
      <c r="G117">
        <f t="shared" si="1"/>
        <v>9000</v>
      </c>
    </row>
    <row r="118" spans="1:7" x14ac:dyDescent="0.3">
      <c r="A118" s="1">
        <v>46307</v>
      </c>
      <c r="B118" t="s">
        <v>139</v>
      </c>
      <c r="C118" t="s">
        <v>23</v>
      </c>
      <c r="D118" t="s">
        <v>9</v>
      </c>
      <c r="E118">
        <v>1</v>
      </c>
      <c r="F118">
        <v>880</v>
      </c>
      <c r="G118">
        <f t="shared" si="1"/>
        <v>880</v>
      </c>
    </row>
    <row r="119" spans="1:7" x14ac:dyDescent="0.3">
      <c r="A119" s="1">
        <v>46300</v>
      </c>
      <c r="B119" t="s">
        <v>140</v>
      </c>
      <c r="C119" t="s">
        <v>11</v>
      </c>
      <c r="D119" t="s">
        <v>12</v>
      </c>
      <c r="E119">
        <v>1</v>
      </c>
      <c r="F119">
        <v>2380</v>
      </c>
      <c r="G119">
        <f t="shared" si="1"/>
        <v>2380</v>
      </c>
    </row>
    <row r="120" spans="1:7" x14ac:dyDescent="0.3">
      <c r="A120" s="1">
        <v>46322</v>
      </c>
      <c r="B120" t="s">
        <v>141</v>
      </c>
      <c r="C120" t="s">
        <v>31</v>
      </c>
      <c r="D120" t="s">
        <v>15</v>
      </c>
      <c r="E120">
        <v>4</v>
      </c>
      <c r="F120">
        <v>2750</v>
      </c>
      <c r="G120">
        <f t="shared" si="1"/>
        <v>11000</v>
      </c>
    </row>
    <row r="121" spans="1:7" x14ac:dyDescent="0.3">
      <c r="A121" s="1">
        <v>46326</v>
      </c>
      <c r="B121" t="s">
        <v>142</v>
      </c>
      <c r="C121" t="s">
        <v>31</v>
      </c>
      <c r="D121" t="s">
        <v>15</v>
      </c>
      <c r="E121">
        <v>4</v>
      </c>
      <c r="F121">
        <v>2750</v>
      </c>
      <c r="G121">
        <f t="shared" si="1"/>
        <v>11000</v>
      </c>
    </row>
  </sheetData>
  <dataValidations count="3">
    <dataValidation type="whole" operator="greaterThanOrEqual" allowBlank="1" showInputMessage="1" showErrorMessage="1" sqref="E1:E1048576" xr:uid="{FE8246EB-7013-460E-8B21-07E1058694A0}">
      <formula1>1</formula1>
    </dataValidation>
    <dataValidation type="list" allowBlank="1" showInputMessage="1" showErrorMessage="1" sqref="D1:D1048576" xr:uid="{BD8B8F98-3EC4-483E-B209-44CF5D9BE7B8}">
      <formula1>"Clothing,Electronics,Accessories,Footwear"</formula1>
    </dataValidation>
    <dataValidation type="date" allowBlank="1" showInputMessage="1" showErrorMessage="1" sqref="A1:A1048576" xr:uid="{4B349E09-D478-44FC-9975-4CA6C48A624C}">
      <formula1>46296</formula1>
      <formula2>46326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FFB3-AC89-4FC4-B569-F22F2FBCB81E}">
  <dimension ref="A1:N34"/>
  <sheetViews>
    <sheetView tabSelected="1" topLeftCell="J1" workbookViewId="0">
      <selection activeCell="L11" sqref="L11"/>
    </sheetView>
  </sheetViews>
  <sheetFormatPr defaultRowHeight="14.4" x14ac:dyDescent="0.3"/>
  <cols>
    <col min="1" max="1" width="24.6640625" customWidth="1"/>
    <col min="4" max="4" width="12.21875" customWidth="1"/>
    <col min="5" max="5" width="11.77734375" customWidth="1"/>
    <col min="7" max="7" width="13.88671875" customWidth="1"/>
    <col min="8" max="8" width="12.6640625" customWidth="1"/>
    <col min="10" max="10" width="16.109375" customWidth="1"/>
    <col min="11" max="11" width="13.33203125" customWidth="1"/>
    <col min="12" max="12" width="14.88671875" customWidth="1"/>
    <col min="13" max="13" width="15.77734375" customWidth="1"/>
    <col min="14" max="14" width="20.21875" customWidth="1"/>
  </cols>
  <sheetData>
    <row r="1" spans="1:14" ht="15.6" x14ac:dyDescent="0.3">
      <c r="A1" s="2" t="s">
        <v>143</v>
      </c>
    </row>
    <row r="2" spans="1:14" x14ac:dyDescent="0.3">
      <c r="D2" t="s">
        <v>147</v>
      </c>
      <c r="G2" t="s">
        <v>149</v>
      </c>
      <c r="J2" t="s">
        <v>152</v>
      </c>
    </row>
    <row r="3" spans="1:14" x14ac:dyDescent="0.3">
      <c r="A3" t="s">
        <v>6</v>
      </c>
      <c r="B3">
        <f>SUM(Raw_Data!G2:G121)</f>
        <v>2473990</v>
      </c>
      <c r="D3" t="s">
        <v>0</v>
      </c>
      <c r="E3" t="s">
        <v>148</v>
      </c>
      <c r="G3" t="s">
        <v>150</v>
      </c>
      <c r="H3" t="s">
        <v>151</v>
      </c>
      <c r="J3" t="s">
        <v>153</v>
      </c>
      <c r="K3" t="s">
        <v>154</v>
      </c>
    </row>
    <row r="4" spans="1:14" x14ac:dyDescent="0.3">
      <c r="A4" t="s">
        <v>144</v>
      </c>
      <c r="B4">
        <f>SUM(Raw_Data!E2:E121)</f>
        <v>367</v>
      </c>
      <c r="D4" s="1">
        <v>46296</v>
      </c>
      <c r="E4">
        <f>SUMIFS(Raw_Data!$G$2:$G$121,Raw_Data!$A$2:$A$121,D4)</f>
        <v>8400</v>
      </c>
      <c r="G4" s="1">
        <v>46296</v>
      </c>
      <c r="H4">
        <f>SUMIFS(Raw_Data!$G$2:$G$121,Raw_Data!$A$2:$A$121,"&gt;="&amp;G4,Raw_Data!$A$2:$A$121,"&lt;"&amp;G4+7)</f>
        <v>560700</v>
      </c>
      <c r="J4" s="1">
        <v>46296</v>
      </c>
      <c r="K4">
        <f>SUMIFS(Raw_Data!$G$2:$G$121,Raw_Data!$A$2:$A$121,"&gt;="&amp;J4,Raw_Data!$A$2:$A$121,"&lt;"&amp;EDATE(J4,1))</f>
        <v>2473990</v>
      </c>
    </row>
    <row r="5" spans="1:14" x14ac:dyDescent="0.3">
      <c r="A5" t="s">
        <v>145</v>
      </c>
      <c r="B5">
        <f>COUNTA(Raw_Data!B2:B121)</f>
        <v>120</v>
      </c>
      <c r="D5" s="1">
        <v>46297</v>
      </c>
      <c r="E5">
        <f>SUMIFS(Raw_Data!$G$2:$G$121,Raw_Data!$A$2:$A$121,D5)</f>
        <v>13720</v>
      </c>
      <c r="G5" s="1">
        <f>G4+7</f>
        <v>46303</v>
      </c>
      <c r="H5">
        <f>SUMIFS(Raw_Data!$G$2:$G$121,Raw_Data!$A$2:$A$121,"&gt;="&amp;G5,Raw_Data!$A$2:$A$121,"&lt;"&amp;G5+7)</f>
        <v>525750</v>
      </c>
    </row>
    <row r="6" spans="1:14" x14ac:dyDescent="0.3">
      <c r="A6" t="s">
        <v>146</v>
      </c>
      <c r="B6">
        <f>AVERAGE(Raw_Data!G2:G121)</f>
        <v>20616.583333333332</v>
      </c>
      <c r="D6" s="1">
        <v>46298</v>
      </c>
      <c r="E6">
        <f>SUMIFS(Raw_Data!$G$2:$G$121,Raw_Data!$A$2:$A$121,D6)</f>
        <v>46030</v>
      </c>
      <c r="G6" s="1">
        <f t="shared" ref="G6:G15" si="0">G5+7</f>
        <v>46310</v>
      </c>
      <c r="H6">
        <f>SUMIFS(Raw_Data!$G$2:$G$121,Raw_Data!$A$2:$A$121,"&gt;="&amp;G6,Raw_Data!$A$2:$A$121,"&lt;"&amp;G6+7)</f>
        <v>415240</v>
      </c>
    </row>
    <row r="7" spans="1:14" x14ac:dyDescent="0.3">
      <c r="D7" s="1">
        <v>46299</v>
      </c>
      <c r="E7">
        <f>SUMIFS(Raw_Data!$G$2:$G$121,Raw_Data!$A$2:$A$121,D7)</f>
        <v>193610</v>
      </c>
      <c r="G7" s="1">
        <f t="shared" si="0"/>
        <v>46317</v>
      </c>
      <c r="H7">
        <f>SUMIFS(Raw_Data!$G$2:$G$121,Raw_Data!$A$2:$A$121,"&gt;="&amp;G7,Raw_Data!$A$2:$A$121,"&lt;"&amp;G7+7)</f>
        <v>754800</v>
      </c>
    </row>
    <row r="8" spans="1:14" x14ac:dyDescent="0.3">
      <c r="D8" s="1">
        <v>46300</v>
      </c>
      <c r="E8">
        <f>SUMIFS(Raw_Data!$G$2:$G$121,Raw_Data!$A$2:$A$121,D8)</f>
        <v>40480</v>
      </c>
      <c r="G8" s="1">
        <f t="shared" si="0"/>
        <v>46324</v>
      </c>
      <c r="H8">
        <f>SUMIFS(Raw_Data!$G$2:$G$121,Raw_Data!$A$2:$A$121,"&gt;="&amp;G8,Raw_Data!$A$2:$A$121,"&lt;"&amp;G8+7)</f>
        <v>217500</v>
      </c>
    </row>
    <row r="9" spans="1:14" x14ac:dyDescent="0.3">
      <c r="D9" s="1">
        <v>46301</v>
      </c>
      <c r="E9">
        <f>SUMIFS(Raw_Data!$G$2:$G$121,Raw_Data!$A$2:$A$121,D9)</f>
        <v>13300</v>
      </c>
      <c r="G9" s="1"/>
    </row>
    <row r="10" spans="1:14" x14ac:dyDescent="0.3">
      <c r="D10" s="1">
        <v>46302</v>
      </c>
      <c r="E10">
        <f>SUMIFS(Raw_Data!$G$2:$G$121,Raw_Data!$A$2:$A$121,D10)</f>
        <v>245160</v>
      </c>
      <c r="G10" s="1"/>
      <c r="M10" t="s">
        <v>155</v>
      </c>
    </row>
    <row r="11" spans="1:14" x14ac:dyDescent="0.3">
      <c r="D11" s="1">
        <v>46303</v>
      </c>
      <c r="E11">
        <f>SUMIFS(Raw_Data!$G$2:$G$121,Raw_Data!$A$2:$A$121,D11)</f>
        <v>90930</v>
      </c>
      <c r="G11" s="1"/>
      <c r="M11" t="s">
        <v>3</v>
      </c>
      <c r="N11" t="s">
        <v>156</v>
      </c>
    </row>
    <row r="12" spans="1:14" x14ac:dyDescent="0.3">
      <c r="D12" s="1">
        <v>46304</v>
      </c>
      <c r="E12">
        <f>SUMIFS(Raw_Data!$G$2:$G$121,Raw_Data!$A$2:$A$121,D12)</f>
        <v>4300</v>
      </c>
      <c r="G12" s="1"/>
      <c r="M12" t="s">
        <v>9</v>
      </c>
      <c r="N12">
        <f>SUMIF(Raw_Data!$D$2:$D$121,M12,Raw_Data!$G$2:$G$121)</f>
        <v>186030</v>
      </c>
    </row>
    <row r="13" spans="1:14" x14ac:dyDescent="0.3">
      <c r="D13" s="1">
        <v>46305</v>
      </c>
      <c r="E13">
        <f>SUMIFS(Raw_Data!$G$2:$G$121,Raw_Data!$A$2:$A$121,D13)</f>
        <v>30650</v>
      </c>
      <c r="G13" s="1"/>
      <c r="M13" t="s">
        <v>15</v>
      </c>
      <c r="N13">
        <f>SUMIF(Raw_Data!$D$2:$D$121,M13,Raw_Data!$G$2:$G$121)</f>
        <v>2049360</v>
      </c>
    </row>
    <row r="14" spans="1:14" x14ac:dyDescent="0.3">
      <c r="D14" s="1">
        <v>46306</v>
      </c>
      <c r="E14">
        <f>SUMIFS(Raw_Data!$G$2:$G$121,Raw_Data!$A$2:$A$121,D14)</f>
        <v>47160</v>
      </c>
      <c r="G14" s="1"/>
      <c r="M14" t="s">
        <v>12</v>
      </c>
      <c r="N14">
        <f>SUMIF(Raw_Data!$D$2:$D$121,M14,Raw_Data!$G$2:$G$121)</f>
        <v>157380</v>
      </c>
    </row>
    <row r="15" spans="1:14" x14ac:dyDescent="0.3">
      <c r="D15" s="1">
        <v>46307</v>
      </c>
      <c r="E15">
        <f>SUMIFS(Raw_Data!$G$2:$G$121,Raw_Data!$A$2:$A$121,D15)</f>
        <v>31770</v>
      </c>
      <c r="G15" s="1"/>
      <c r="M15" t="s">
        <v>36</v>
      </c>
      <c r="N15">
        <f>SUMIF(Raw_Data!$D$2:$D$121,M15,Raw_Data!$G$2:$G$121)</f>
        <v>81220</v>
      </c>
    </row>
    <row r="16" spans="1:14" x14ac:dyDescent="0.3">
      <c r="D16" s="1">
        <v>46308</v>
      </c>
      <c r="E16">
        <f>SUMIFS(Raw_Data!$G$2:$G$121,Raw_Data!$A$2:$A$121,D16)</f>
        <v>96070</v>
      </c>
    </row>
    <row r="17" spans="4:5" x14ac:dyDescent="0.3">
      <c r="D17" s="1">
        <v>46309</v>
      </c>
      <c r="E17">
        <f>SUMIFS(Raw_Data!$G$2:$G$121,Raw_Data!$A$2:$A$121,D17)</f>
        <v>224870</v>
      </c>
    </row>
    <row r="18" spans="4:5" x14ac:dyDescent="0.3">
      <c r="D18" s="1">
        <v>46310</v>
      </c>
      <c r="E18">
        <f>SUMIFS(Raw_Data!$G$2:$G$121,Raw_Data!$A$2:$A$121,D18)</f>
        <v>0</v>
      </c>
    </row>
    <row r="19" spans="4:5" x14ac:dyDescent="0.3">
      <c r="D19" s="1">
        <v>46311</v>
      </c>
      <c r="E19">
        <f>SUMIFS(Raw_Data!$G$2:$G$121,Raw_Data!$A$2:$A$121,D19)</f>
        <v>38110</v>
      </c>
    </row>
    <row r="20" spans="4:5" x14ac:dyDescent="0.3">
      <c r="D20" s="1">
        <v>46312</v>
      </c>
      <c r="E20">
        <f>SUMIFS(Raw_Data!$G$2:$G$121,Raw_Data!$A$2:$A$121,D20)</f>
        <v>30750</v>
      </c>
    </row>
    <row r="21" spans="4:5" x14ac:dyDescent="0.3">
      <c r="D21" s="1">
        <v>46313</v>
      </c>
      <c r="E21">
        <f>SUMIFS(Raw_Data!$G$2:$G$121,Raw_Data!$A$2:$A$121,D21)</f>
        <v>207800</v>
      </c>
    </row>
    <row r="22" spans="4:5" x14ac:dyDescent="0.3">
      <c r="D22" s="1">
        <v>46314</v>
      </c>
      <c r="E22">
        <f>SUMIFS(Raw_Data!$G$2:$G$121,Raw_Data!$A$2:$A$121,D22)</f>
        <v>30620</v>
      </c>
    </row>
    <row r="23" spans="4:5" x14ac:dyDescent="0.3">
      <c r="D23" s="1">
        <v>46315</v>
      </c>
      <c r="E23">
        <f>SUMIFS(Raw_Data!$G$2:$G$121,Raw_Data!$A$2:$A$121,D23)</f>
        <v>18240</v>
      </c>
    </row>
    <row r="24" spans="4:5" x14ac:dyDescent="0.3">
      <c r="D24" s="1">
        <v>46316</v>
      </c>
      <c r="E24">
        <f>SUMIFS(Raw_Data!$G$2:$G$121,Raw_Data!$A$2:$A$121,D24)</f>
        <v>89720</v>
      </c>
    </row>
    <row r="25" spans="4:5" x14ac:dyDescent="0.3">
      <c r="D25" s="1">
        <v>46317</v>
      </c>
      <c r="E25">
        <f>SUMIFS(Raw_Data!$G$2:$G$121,Raw_Data!$A$2:$A$121,D25)</f>
        <v>9050</v>
      </c>
    </row>
    <row r="26" spans="4:5" x14ac:dyDescent="0.3">
      <c r="D26" s="1">
        <v>46318</v>
      </c>
      <c r="E26">
        <f>SUMIFS(Raw_Data!$G$2:$G$121,Raw_Data!$A$2:$A$121,D26)</f>
        <v>32130</v>
      </c>
    </row>
    <row r="27" spans="4:5" x14ac:dyDescent="0.3">
      <c r="D27" s="1">
        <v>46319</v>
      </c>
      <c r="E27">
        <f>SUMIFS(Raw_Data!$G$2:$G$121,Raw_Data!$A$2:$A$121,D27)</f>
        <v>471310</v>
      </c>
    </row>
    <row r="28" spans="4:5" x14ac:dyDescent="0.3">
      <c r="D28" s="1">
        <v>46320</v>
      </c>
      <c r="E28">
        <f>SUMIFS(Raw_Data!$G$2:$G$121,Raw_Data!$A$2:$A$121,D28)</f>
        <v>8790</v>
      </c>
    </row>
    <row r="29" spans="4:5" x14ac:dyDescent="0.3">
      <c r="D29" s="1">
        <v>46321</v>
      </c>
      <c r="E29">
        <f>SUMIFS(Raw_Data!$G$2:$G$121,Raw_Data!$A$2:$A$121,D29)</f>
        <v>64000</v>
      </c>
    </row>
    <row r="30" spans="4:5" x14ac:dyDescent="0.3">
      <c r="D30" s="1">
        <v>46322</v>
      </c>
      <c r="E30">
        <f>SUMIFS(Raw_Data!$G$2:$G$121,Raw_Data!$A$2:$A$121,D30)</f>
        <v>169520</v>
      </c>
    </row>
    <row r="31" spans="4:5" x14ac:dyDescent="0.3">
      <c r="D31" s="1">
        <v>46323</v>
      </c>
      <c r="E31">
        <f>SUMIFS(Raw_Data!$G$2:$G$121,Raw_Data!$A$2:$A$121,D31)</f>
        <v>0</v>
      </c>
    </row>
    <row r="32" spans="4:5" x14ac:dyDescent="0.3">
      <c r="D32" s="1">
        <v>46324</v>
      </c>
      <c r="E32">
        <f>SUMIFS(Raw_Data!$G$2:$G$121,Raw_Data!$A$2:$A$121,D32)</f>
        <v>50060</v>
      </c>
    </row>
    <row r="33" spans="4:5" x14ac:dyDescent="0.3">
      <c r="D33" s="1">
        <v>46325</v>
      </c>
      <c r="E33">
        <f>SUMIFS(Raw_Data!$G$2:$G$121,Raw_Data!$A$2:$A$121,D33)</f>
        <v>99550</v>
      </c>
    </row>
    <row r="34" spans="4:5" x14ac:dyDescent="0.3">
      <c r="D34" s="1">
        <v>46326</v>
      </c>
      <c r="E34">
        <f>SUMIFS(Raw_Data!$G$2:$G$121,Raw_Data!$A$2:$A$121,D34)</f>
        <v>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2026-10-08T11:56:26Z</dcterms:created>
  <dcterms:modified xsi:type="dcterms:W3CDTF">2026-10-08T12:31:04Z</dcterms:modified>
</cp:coreProperties>
</file>