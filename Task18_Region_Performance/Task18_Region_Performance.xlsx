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85896489072613/Documents/"/>
    </mc:Choice>
  </mc:AlternateContent>
  <xr:revisionPtr revIDLastSave="0" documentId="8_{DEF07140-F84C-43F8-B1BB-30ECBCE38D6B}" xr6:coauthVersionLast="47" xr6:coauthVersionMax="47" xr10:uidLastSave="{00000000-0000-0000-0000-000000000000}"/>
  <bookViews>
    <workbookView xWindow="-96" yWindow="0" windowWidth="11712" windowHeight="12336" xr2:uid="{EF37D660-17AC-4B42-BDA8-203B73EA1380}"/>
  </bookViews>
  <sheets>
    <sheet name="Region Summary" sheetId="2" r:id="rId1"/>
    <sheet name="Region Chart" sheetId="3" r:id="rId2"/>
    <sheet name="Raw_Data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<sst xmlns="http://schemas.openxmlformats.org/spreadsheetml/2006/main" count="816" uniqueCount="209">
  <si>
    <t>Order ID</t>
  </si>
  <si>
    <t>Order Date</t>
  </si>
  <si>
    <t>Region</t>
  </si>
  <si>
    <t>State</t>
  </si>
  <si>
    <t>Category</t>
  </si>
  <si>
    <t>Sub-Category</t>
  </si>
  <si>
    <t>Sales</t>
  </si>
  <si>
    <t>Profit</t>
  </si>
  <si>
    <t>ORD-0001</t>
  </si>
  <si>
    <t>East</t>
  </si>
  <si>
    <t>Massachusetts</t>
  </si>
  <si>
    <t>Furniture</t>
  </si>
  <si>
    <t>Bookcases</t>
  </si>
  <si>
    <t>ORD-0002</t>
  </si>
  <si>
    <t>New York</t>
  </si>
  <si>
    <t>Office Supplies</t>
  </si>
  <si>
    <t>Storage</t>
  </si>
  <si>
    <t>ORD-0003</t>
  </si>
  <si>
    <t>South</t>
  </si>
  <si>
    <t>Georgia</t>
  </si>
  <si>
    <t>Technology</t>
  </si>
  <si>
    <t>Machines</t>
  </si>
  <si>
    <t>ORD-0004</t>
  </si>
  <si>
    <t>ORD-0005</t>
  </si>
  <si>
    <t>Pennsylvania</t>
  </si>
  <si>
    <t>Accessories</t>
  </si>
  <si>
    <t>ORD-0006</t>
  </si>
  <si>
    <t>West</t>
  </si>
  <si>
    <t>Oregon</t>
  </si>
  <si>
    <t>ORD-0007</t>
  </si>
  <si>
    <t>Phones</t>
  </si>
  <si>
    <t>ORD-0008</t>
  </si>
  <si>
    <t>Colorado</t>
  </si>
  <si>
    <t>ORD-0009</t>
  </si>
  <si>
    <t>Virginia</t>
  </si>
  <si>
    <t>Labels</t>
  </si>
  <si>
    <t>ORD-0010</t>
  </si>
  <si>
    <t>Alabama</t>
  </si>
  <si>
    <t>ORD-0011</t>
  </si>
  <si>
    <t>Washington</t>
  </si>
  <si>
    <t>Tables</t>
  </si>
  <si>
    <t>ORD-0012</t>
  </si>
  <si>
    <t>Central</t>
  </si>
  <si>
    <t>Minnesota</t>
  </si>
  <si>
    <t>ORD-0013</t>
  </si>
  <si>
    <t>ORD-0014</t>
  </si>
  <si>
    <t>Ohio</t>
  </si>
  <si>
    <t>ORD-0015</t>
  </si>
  <si>
    <t>ORD-0016</t>
  </si>
  <si>
    <t>ORD-0017</t>
  </si>
  <si>
    <t>Illinois</t>
  </si>
  <si>
    <t>ORD-0018</t>
  </si>
  <si>
    <t>ORD-0019</t>
  </si>
  <si>
    <t>Chairs</t>
  </si>
  <si>
    <t>ORD-0020</t>
  </si>
  <si>
    <t>Texas</t>
  </si>
  <si>
    <t>ORD-0021</t>
  </si>
  <si>
    <t>Binders</t>
  </si>
  <si>
    <t>ORD-0022</t>
  </si>
  <si>
    <t>ORD-0023</t>
  </si>
  <si>
    <t>Tennessee</t>
  </si>
  <si>
    <t>Paper</t>
  </si>
  <si>
    <t>ORD-0024</t>
  </si>
  <si>
    <t>ORD-0025</t>
  </si>
  <si>
    <t>ORD-0026</t>
  </si>
  <si>
    <t>ORD-0027</t>
  </si>
  <si>
    <t>ORD-0028</t>
  </si>
  <si>
    <t>Missouri</t>
  </si>
  <si>
    <t>ORD-0029</t>
  </si>
  <si>
    <t>ORD-0030</t>
  </si>
  <si>
    <t>ORD-0031</t>
  </si>
  <si>
    <t>Wisconsin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</si>
  <si>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</si>
  <si>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</si>
  <si>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</si>
  <si>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</si>
  <si>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</si>
  <si>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</si>
  <si>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</si>
  <si>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</si>
  <si>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</si>
  <si>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</si>
  <si>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</si>
  <si>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</si>
  <si>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</si>
  <si>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</si>
  <si>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</si>
  <si>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</si>
  <si>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</si>
  <si>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</si>
  <si>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Arizona</t>
  </si>
  <si>
    <t>ORD-0050</t>
  </si>
  <si>
    <t>ORD-0051</t>
  </si>
  <si>
    <t>ORD-0052</t>
  </si>
  <si>
    <t>ORD-0053</t>
  </si>
  <si>
    <t>ORD-0054</t>
  </si>
  <si>
    <t>ORD-0055</t>
  </si>
  <si>
    <t>ORD-0056</t>
  </si>
  <si>
    <t>Florida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</si>
  <si>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</si>
  <si>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</si>
  <si>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</si>
  <si>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</si>
  <si>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</si>
  <si>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</si>
  <si>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</si>
  <si>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</si>
  <si>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</si>
  <si>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</si>
  <si>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</si>
  <si>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</si>
  <si>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</si>
  <si>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</si>
  <si>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</si>
  <si>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</si>
  <si>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</si>
  <si>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</si>
  <si>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</si>
  <si>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</si>
  <si>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</si>
  <si>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</si>
  <si>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</si>
  <si>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</si>
  <si>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</si>
  <si>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California</t>
  </si>
  <si>
    <t>ORD-0082</t>
  </si>
  <si>
    <t>ORD-0083</t>
  </si>
  <si>
    <t>ORD-0084</t>
  </si>
  <si>
    <t>ORD-0085</t>
  </si>
  <si>
    <t>ORD-0086</t>
  </si>
  <si>
    <t>North Carolina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</si>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</sst>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19" fillId="0" borderId="0" xfId="0" pivotButton="1" applyFont="1"/>
    <xf numFmtId="0" fontId="19" fillId="0" borderId="0" xfId="0" applyFont="1" applyAlignment="1">
      <alignment horizontal="left"/>
    </xf>
    <xf numFmtId="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[Task18_Region_Performance.xlsx]Region Summary!PivotTable1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Summary'!$B$3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Summary'!$A$4:$A$8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Summary'!$B$4:$B$8</c:f>
              <c:numCache>
                <c:formatCode>General</c:formatCode>
                <c:ptCount val="4"/>
                <c:pt idx="0">
                  <c:v>41824.629999999997</c:v>
                </c:pt>
                <c:pt idx="1">
                  <c:v>36187.949999999997</c:v>
                </c:pt>
                <c:pt idx="2">
                  <c:v>34679.689999999988</c:v>
                </c:pt>
                <c:pt idx="3">
                  <c:v>29733.14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F-41AF-8E85-B44E86F5C699}"/>
            </c:ext>
          </c:extLst>
        </c:ser>
        <c:ser>
          <c:idx val="1"/>
          <c:order val="1"/>
          <c:tx>
            <c:strRef>
              <c:f>'Region Summary'!$C$3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Summary'!$A$4:$A$8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 Summary'!$C$4:$C$8</c:f>
              <c:numCache>
                <c:formatCode>General</c:formatCode>
                <c:ptCount val="4"/>
                <c:pt idx="0">
                  <c:v>2657.93</c:v>
                </c:pt>
                <c:pt idx="1">
                  <c:v>2252.4799999999991</c:v>
                </c:pt>
                <c:pt idx="2">
                  <c:v>4834.880000000001</c:v>
                </c:pt>
                <c:pt idx="3">
                  <c:v>593.1400000000001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F-41AF-8E85-B44E86F5C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2479936"/>
        <c:axId val="1012488096"/>
      </c:barChart>
      <c:catAx>
        <c:axId val="101247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88096"/>
        <c:crosses val="autoZero"/>
        <c:auto val="1"/>
        <c:lblAlgn val="ctr"/>
        <c:lblOffset val="100"/>
        <c:noMultiLvlLbl val="0"/>
      </c:catAx>
      <c:valAx>
        <c:axId val="101248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47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182880</xdr:colOff>
      <xdr:row>3</xdr:row>
      <xdr:rowOff>68580</xdr:rowOff>
    </xdr:from>
    <xdr:to>
      <xdr:col>8</xdr:col>
      <xdr:colOff>487680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82756-DD25-4752-ACF0-26BBCC260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13.377892129633" createdVersion="8" refreshedVersion="8" minRefreshableVersion="3" recordCount="160" xr:uid="{4168D309-5204-45AF-A2A2-C4CD44FA785B}">
  <cacheSource type="worksheet">
    <worksheetSource name="Table1"/>
  </cacheSource>
  <cacheFields count="8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25-12-29T00:00:00"/>
    </cacheField>
    <cacheField name="Region" numFmtId="0">
      <sharedItems count="4">
        <s v="East"/>
        <s v="South"/>
        <s v="West"/>
        <s v="Central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Sales" numFmtId="0">
      <sharedItems containsSemiMixedTypes="0" containsString="0" containsNumber="1" minValue="40.6" maxValue="1771.86"/>
    </cacheField>
    <cacheField name="Profit" numFmtId="0">
      <sharedItems containsSemiMixedTypes="0" containsString="0" containsNumber="1" minValue="-296.72000000000003" maxValue="548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s v="ORD-0001"/>
    <d v="2025-09-08T00:00:00"/>
    <x v="0"/>
    <s v="Massachusetts"/>
    <s v="Furniture"/>
    <s v="Bookcases"/>
    <n v="827.18"/>
    <n v="-49.84"/>
  </r>
  <r>
    <s v="ORD-0002"/>
    <d v="2025-05-10T00:00:00"/>
    <x v="0"/>
    <s v="New York"/>
    <s v="Office Supplies"/>
    <s v="Storage"/>
    <n v="843.95"/>
    <n v="-40.29"/>
  </r>
  <r>
    <s v="ORD-0003"/>
    <d v="2025-05-01T00:00:00"/>
    <x v="1"/>
    <s v="Georgia"/>
    <s v="Technology"/>
    <s v="Machines"/>
    <n v="1380.72"/>
    <n v="-128.18"/>
  </r>
  <r>
    <s v="ORD-0004"/>
    <d v="2025-12-13T00:00:00"/>
    <x v="0"/>
    <s v="Massachusetts"/>
    <s v="Furniture"/>
    <s v="Bookcases"/>
    <n v="680.17"/>
    <n v="50.24"/>
  </r>
  <r>
    <s v="ORD-0005"/>
    <d v="2025-07-27T00:00:00"/>
    <x v="0"/>
    <s v="Pennsylvania"/>
    <s v="Technology"/>
    <s v="Accessories"/>
    <n v="502.72"/>
    <n v="-4.34"/>
  </r>
  <r>
    <s v="ORD-0006"/>
    <d v="2025-05-19T00:00:00"/>
    <x v="2"/>
    <s v="Oregon"/>
    <s v="Technology"/>
    <s v="Accessories"/>
    <n v="1082.46"/>
    <n v="90.24"/>
  </r>
  <r>
    <s v="ORD-0007"/>
    <d v="2025-09-14T00:00:00"/>
    <x v="1"/>
    <s v="Georgia"/>
    <s v="Technology"/>
    <s v="Phones"/>
    <n v="531.54"/>
    <n v="55.25"/>
  </r>
  <r>
    <s v="ORD-0008"/>
    <d v="2025-11-28T00:00:00"/>
    <x v="2"/>
    <s v="Colorado"/>
    <s v="Technology"/>
    <s v="Machines"/>
    <n v="1435.15"/>
    <n v="-122.1"/>
  </r>
  <r>
    <s v="ORD-0009"/>
    <d v="2025-04-14T00:00:00"/>
    <x v="0"/>
    <s v="Virginia"/>
    <s v="Office Supplies"/>
    <s v="Labels"/>
    <n v="1047.6500000000001"/>
    <n v="289.31"/>
  </r>
  <r>
    <s v="ORD-0010"/>
    <d v="2025-12-03T00:00:00"/>
    <x v="1"/>
    <s v="Alabama"/>
    <s v="Technology"/>
    <s v="Accessories"/>
    <n v="1430.59"/>
    <n v="338.32"/>
  </r>
  <r>
    <s v="ORD-0011"/>
    <d v="2025-02-10T00:00:00"/>
    <x v="2"/>
    <s v="Washington"/>
    <s v="Furniture"/>
    <s v="Tables"/>
    <n v="296.06"/>
    <n v="-30.76"/>
  </r>
  <r>
    <s v="ORD-0012"/>
    <d v="2025-11-19T00:00:00"/>
    <x v="3"/>
    <s v="Minnesota"/>
    <s v="Technology"/>
    <s v="Accessories"/>
    <n v="394.82"/>
    <n v="108.65"/>
  </r>
  <r>
    <s v="ORD-0013"/>
    <d v="2025-07-24T00:00:00"/>
    <x v="3"/>
    <s v="Minnesota"/>
    <s v="Furniture"/>
    <s v="Bookcases"/>
    <n v="1530.76"/>
    <n v="-208.83"/>
  </r>
  <r>
    <s v="ORD-0014"/>
    <d v="2025-12-15T00:00:00"/>
    <x v="0"/>
    <s v="Ohio"/>
    <s v="Office Supplies"/>
    <s v="Labels"/>
    <n v="263.12"/>
    <n v="45.71"/>
  </r>
  <r>
    <s v="ORD-0015"/>
    <d v="2025-03-06T00:00:00"/>
    <x v="0"/>
    <s v="Massachusetts"/>
    <s v="Office Supplies"/>
    <s v="Storage"/>
    <n v="1323.87"/>
    <n v="166.34"/>
  </r>
  <r>
    <s v="ORD-0016"/>
    <d v="2025-11-30T00:00:00"/>
    <x v="3"/>
    <s v="Minnesota"/>
    <s v="Technology"/>
    <s v="Accessories"/>
    <n v="292.75"/>
    <n v="-28.87"/>
  </r>
  <r>
    <s v="ORD-0017"/>
    <d v="2025-02-21T00:00:00"/>
    <x v="3"/>
    <s v="Illinois"/>
    <s v="Technology"/>
    <s v="Machines"/>
    <n v="1021.04"/>
    <n v="50.5"/>
  </r>
  <r>
    <s v="ORD-0018"/>
    <d v="2025-08-01T00:00:00"/>
    <x v="1"/>
    <s v="Georgia"/>
    <s v="Office Supplies"/>
    <s v="Labels"/>
    <n v="881.56"/>
    <n v="87.44"/>
  </r>
  <r>
    <s v="ORD-0019"/>
    <d v="2025-06-02T00:00:00"/>
    <x v="0"/>
    <s v="Massachusetts"/>
    <s v="Furniture"/>
    <s v="Chairs"/>
    <n v="1725.26"/>
    <n v="319.39999999999998"/>
  </r>
  <r>
    <s v="ORD-0020"/>
    <d v="2025-09-26T00:00:00"/>
    <x v="3"/>
    <s v="Texas"/>
    <s v="Furniture"/>
    <s v="Tables"/>
    <n v="1373.95"/>
    <n v="258.27999999999997"/>
  </r>
  <r>
    <s v="ORD-0021"/>
    <d v="2025-04-29T00:00:00"/>
    <x v="0"/>
    <s v="Pennsylvania"/>
    <s v="Office Supplies"/>
    <s v="Binders"/>
    <n v="323.06"/>
    <n v="34.29"/>
  </r>
  <r>
    <s v="ORD-0022"/>
    <d v="2025-02-15T00:00:00"/>
    <x v="1"/>
    <s v="Alabama"/>
    <s v="Furniture"/>
    <s v="Bookcases"/>
    <n v="694.9"/>
    <n v="-0.83"/>
  </r>
  <r>
    <s v="ORD-0023"/>
    <d v="2025-09-20T00:00:00"/>
    <x v="1"/>
    <s v="Tennessee"/>
    <s v="Office Supplies"/>
    <s v="Paper"/>
    <n v="734.97"/>
    <n v="17.61"/>
  </r>
  <r>
    <s v="ORD-0024"/>
    <d v="2025-05-12T00:00:00"/>
    <x v="3"/>
    <s v="Minnesota"/>
    <s v="Office Supplies"/>
    <s v="Labels"/>
    <n v="1451.58"/>
    <n v="-228.11"/>
  </r>
  <r>
    <s v="ORD-0025"/>
    <d v="2025-12-22T00:00:00"/>
    <x v="1"/>
    <s v="Tennessee"/>
    <s v="Furniture"/>
    <s v="Chairs"/>
    <n v="536.38"/>
    <n v="3.78"/>
  </r>
  <r>
    <s v="ORD-0026"/>
    <d v="2025-10-13T00:00:00"/>
    <x v="3"/>
    <s v="Minnesota"/>
    <s v="Furniture"/>
    <s v="Tables"/>
    <n v="1509.04"/>
    <n v="-75.34"/>
  </r>
  <r>
    <s v="ORD-0027"/>
    <d v="2025-06-11T00:00:00"/>
    <x v="3"/>
    <s v="Texas"/>
    <s v="Furniture"/>
    <s v="Bookcases"/>
    <n v="168.79"/>
    <n v="9.08"/>
  </r>
  <r>
    <s v="ORD-0028"/>
    <d v="2025-09-09T00:00:00"/>
    <x v="3"/>
    <s v="Missouri"/>
    <s v="Furniture"/>
    <s v="Tables"/>
    <n v="1556.18"/>
    <n v="439.75"/>
  </r>
  <r>
    <s v="ORD-0029"/>
    <d v="2025-11-28T00:00:00"/>
    <x v="2"/>
    <s v="Washington"/>
    <s v="Office Supplies"/>
    <s v="Storage"/>
    <n v="838.91"/>
    <n v="-142.35"/>
  </r>
  <r>
    <s v="ORD-0030"/>
    <d v="2025-02-03T00:00:00"/>
    <x v="0"/>
    <s v="Virginia"/>
    <s v="Furniture"/>
    <s v="Chairs"/>
    <n v="735.89"/>
    <n v="143.82"/>
  </r>
  <r>
    <s v="ORD-0031"/>
    <d v="2025-11-27T00:00:00"/>
    <x v="3"/>
    <s v="Wisconsin"/>
    <s v="Office Supplies"/>
    <s v="Paper"/>
    <n v="469.94"/>
    <n v="-51.69"/>
  </r>
  <r>
    <s v="ORD-0032"/>
    <d v="2025-01-09T00:00:00"/>
    <x v="3"/>
    <s v="Missouri"/>
    <s v="Furniture"/>
    <s v="Chairs"/>
    <n v="1300.5"/>
    <n v="56.17"/>
  </r>
  <r>
    <s v="ORD-0033"/>
    <d v="2025-03-12T00:00:00"/>
    <x v="2"/>
    <s v="Colorado"/>
    <s v="Technology"/>
    <s v="Machines"/>
    <n v="938.25"/>
    <n v="-42.92"/>
  </r>
  <r>
    <s v="ORD-0034"/>
    <d v="2025-12-28T00:00:00"/>
    <x v="0"/>
    <s v="Ohio"/>
    <s v="Technology"/>
    <s v="Accessories"/>
    <n v="872.99"/>
    <n v="72.53"/>
  </r>
  <r>
    <s v="ORD-0035"/>
    <d v="2025-05-27T00:00:00"/>
    <x v="3"/>
    <s v="Missouri"/>
    <s v="Technology"/>
    <s v="Accessories"/>
    <n v="550.98"/>
    <n v="174.2"/>
  </r>
  <r>
    <s v="ORD-0036"/>
    <d v="2025-04-21T00:00:00"/>
    <x v="3"/>
    <s v="Illinois"/>
    <s v="Furniture"/>
    <s v="Bookcases"/>
    <n v="1158.5999999999999"/>
    <n v="92.78"/>
  </r>
  <r>
    <s v="ORD-0037"/>
    <d v="2025-10-10T00:00:00"/>
    <x v="0"/>
    <s v="Pennsylvania"/>
    <s v="Office Supplies"/>
    <s v="Paper"/>
    <n v="367.57"/>
    <n v="-53.91"/>
  </r>
  <r>
    <s v="ORD-0038"/>
    <d v="2025-09-07T00:00:00"/>
    <x v="3"/>
    <s v="Minnesota"/>
    <s v="Office Supplies"/>
    <s v="Paper"/>
    <n v="846.07"/>
    <n v="158.66999999999999"/>
  </r>
  <r>
    <s v="ORD-0039"/>
    <d v="2025-06-02T00:00:00"/>
    <x v="0"/>
    <s v="Pennsylvania"/>
    <s v="Furniture"/>
    <s v="Tables"/>
    <n v="604.46"/>
    <n v="-29.21"/>
  </r>
  <r>
    <s v="ORD-0040"/>
    <d v="2025-10-11T00:00:00"/>
    <x v="0"/>
    <s v="Virginia"/>
    <s v="Office Supplies"/>
    <s v="Storage"/>
    <n v="1332.93"/>
    <n v="225.7"/>
  </r>
  <r>
    <s v="ORD-0041"/>
    <d v="2025-02-02T00:00:00"/>
    <x v="1"/>
    <s v="Alabama"/>
    <s v="Office Supplies"/>
    <s v="Paper"/>
    <n v="97.46"/>
    <n v="14.44"/>
  </r>
  <r>
    <s v="ORD-0042"/>
    <d v="2025-05-13T00:00:00"/>
    <x v="0"/>
    <s v="Ohio"/>
    <s v="Office Supplies"/>
    <s v="Binders"/>
    <n v="193.6"/>
    <n v="57.84"/>
  </r>
  <r>
    <s v="ORD-0043"/>
    <d v="2025-03-19T00:00:00"/>
    <x v="0"/>
    <s v="Ohio"/>
    <s v="Office Supplies"/>
    <s v="Binders"/>
    <n v="1597.75"/>
    <n v="410.86"/>
  </r>
  <r>
    <s v="ORD-0044"/>
    <d v="2025-05-28T00:00:00"/>
    <x v="1"/>
    <s v="Georgia"/>
    <s v="Furniture"/>
    <s v="Tables"/>
    <n v="653.27"/>
    <n v="-105.56"/>
  </r>
  <r>
    <s v="ORD-0045"/>
    <d v="2025-04-14T00:00:00"/>
    <x v="0"/>
    <s v="New York"/>
    <s v="Furniture"/>
    <s v="Bookcases"/>
    <n v="302.08999999999997"/>
    <n v="68.430000000000007"/>
  </r>
  <r>
    <s v="ORD-0046"/>
    <d v="2025-03-18T00:00:00"/>
    <x v="3"/>
    <s v="Illinois"/>
    <s v="Furniture"/>
    <s v="Bookcases"/>
    <n v="1466.87"/>
    <n v="311.35000000000002"/>
  </r>
  <r>
    <s v="ORD-0047"/>
    <d v="2025-10-11T00:00:00"/>
    <x v="0"/>
    <s v="Ohio"/>
    <s v="Technology"/>
    <s v="Machines"/>
    <n v="319.87"/>
    <n v="-8.98"/>
  </r>
  <r>
    <s v="ORD-0048"/>
    <d v="2025-07-02T00:00:00"/>
    <x v="1"/>
    <s v="Georgia"/>
    <s v="Technology"/>
    <s v="Machines"/>
    <n v="621.17999999999995"/>
    <n v="-31.38"/>
  </r>
  <r>
    <s v="ORD-0049"/>
    <d v="2025-03-01T00:00:00"/>
    <x v="2"/>
    <s v="Arizona"/>
    <s v="Office Supplies"/>
    <s v="Labels"/>
    <n v="771.77"/>
    <n v="173.14"/>
  </r>
  <r>
    <s v="ORD-0050"/>
    <d v="2025-07-04T00:00:00"/>
    <x v="2"/>
    <s v="Washington"/>
    <s v="Furniture"/>
    <s v="Bookcases"/>
    <n v="1662.3"/>
    <n v="-127.15"/>
  </r>
  <r>
    <s v="ORD-0051"/>
    <d v="2025-07-16T00:00:00"/>
    <x v="2"/>
    <s v="Arizona"/>
    <s v="Office Supplies"/>
    <s v="Paper"/>
    <n v="877.69"/>
    <n v="-44.46"/>
  </r>
  <r>
    <s v="ORD-0052"/>
    <d v="2025-12-23T00:00:00"/>
    <x v="1"/>
    <s v="Tennessee"/>
    <s v="Office Supplies"/>
    <s v="Storage"/>
    <n v="375.58"/>
    <n v="39.619999999999997"/>
  </r>
  <r>
    <s v="ORD-0053"/>
    <d v="2025-02-25T00:00:00"/>
    <x v="0"/>
    <s v="Ohio"/>
    <s v="Technology"/>
    <s v="Machines"/>
    <n v="729.39"/>
    <n v="58.63"/>
  </r>
  <r>
    <s v="ORD-0054"/>
    <d v="2025-02-05T00:00:00"/>
    <x v="3"/>
    <s v="Minnesota"/>
    <s v="Office Supplies"/>
    <s v="Labels"/>
    <n v="1501.85"/>
    <n v="364.75"/>
  </r>
  <r>
    <s v="ORD-0055"/>
    <d v="2025-12-12T00:00:00"/>
    <x v="1"/>
    <s v="Tennessee"/>
    <s v="Office Supplies"/>
    <s v="Storage"/>
    <n v="1548.08"/>
    <n v="-124.12"/>
  </r>
  <r>
    <s v="ORD-0056"/>
    <d v="2025-09-26T00:00:00"/>
    <x v="1"/>
    <s v="Florida"/>
    <s v="Technology"/>
    <s v="Accessories"/>
    <n v="1047.6500000000001"/>
    <n v="-61.65"/>
  </r>
  <r>
    <s v="ORD-0057"/>
    <d v="2025-05-14T00:00:00"/>
    <x v="0"/>
    <s v="Massachusetts"/>
    <s v="Furniture"/>
    <s v="Bookcases"/>
    <n v="943.26"/>
    <n v="-9.2200000000000006"/>
  </r>
  <r>
    <s v="ORD-0058"/>
    <d v="2025-07-01T00:00:00"/>
    <x v="1"/>
    <s v="Alabama"/>
    <s v="Technology"/>
    <s v="Accessories"/>
    <n v="992.39"/>
    <n v="2.84"/>
  </r>
  <r>
    <s v="ORD-0059"/>
    <d v="2025-04-07T00:00:00"/>
    <x v="0"/>
    <s v="Massachusetts"/>
    <s v="Office Supplies"/>
    <s v="Paper"/>
    <n v="98.55"/>
    <n v="-16.73"/>
  </r>
  <r>
    <s v="ORD-0060"/>
    <d v="2025-06-15T00:00:00"/>
    <x v="0"/>
    <s v="Pennsylvania"/>
    <s v="Office Supplies"/>
    <s v="Labels"/>
    <n v="226.46"/>
    <n v="55.73"/>
  </r>
  <r>
    <s v="ORD-0061"/>
    <d v="2025-12-26T00:00:00"/>
    <x v="3"/>
    <s v="Minnesota"/>
    <s v="Office Supplies"/>
    <s v="Paper"/>
    <n v="1723.7"/>
    <n v="-118.52"/>
  </r>
  <r>
    <s v="ORD-0062"/>
    <d v="2025-06-23T00:00:00"/>
    <x v="2"/>
    <s v="Oregon"/>
    <s v="Furniture"/>
    <s v="Chairs"/>
    <n v="249.92"/>
    <n v="-5.93"/>
  </r>
  <r>
    <s v="ORD-0063"/>
    <d v="2025-12-13T00:00:00"/>
    <x v="0"/>
    <s v="Virginia"/>
    <s v="Technology"/>
    <s v="Phones"/>
    <n v="1608.38"/>
    <n v="342.06"/>
  </r>
  <r>
    <s v="ORD-0064"/>
    <d v="2025-07-19T00:00:00"/>
    <x v="0"/>
    <s v="Virginia"/>
    <s v="Furniture"/>
    <s v="Bookcases"/>
    <n v="50.78"/>
    <n v="4.82"/>
  </r>
  <r>
    <s v="ORD-0065"/>
    <d v="2025-07-29T00:00:00"/>
    <x v="3"/>
    <s v="Minnesota"/>
    <s v="Technology"/>
    <s v="Phones"/>
    <n v="1512.46"/>
    <n v="191.92"/>
  </r>
  <r>
    <s v="ORD-0066"/>
    <d v="2025-08-09T00:00:00"/>
    <x v="0"/>
    <s v="New York"/>
    <s v="Office Supplies"/>
    <s v="Paper"/>
    <n v="1200.7"/>
    <n v="325.14999999999998"/>
  </r>
  <r>
    <s v="ORD-0067"/>
    <d v="2025-08-21T00:00:00"/>
    <x v="2"/>
    <s v="Oregon"/>
    <s v="Furniture"/>
    <s v="Tables"/>
    <n v="1617.53"/>
    <n v="-25.81"/>
  </r>
  <r>
    <s v="ORD-0068"/>
    <d v="2025-05-09T00:00:00"/>
    <x v="2"/>
    <s v="Washington"/>
    <s v="Furniture"/>
    <s v="Tables"/>
    <n v="194.04"/>
    <n v="15.34"/>
  </r>
  <r>
    <s v="ORD-0069"/>
    <d v="2025-03-08T00:00:00"/>
    <x v="3"/>
    <s v="Wisconsin"/>
    <s v="Technology"/>
    <s v="Machines"/>
    <n v="1680.17"/>
    <n v="-74.89"/>
  </r>
  <r>
    <s v="ORD-0070"/>
    <d v="2025-06-04T00:00:00"/>
    <x v="3"/>
    <s v="Wisconsin"/>
    <s v="Furniture"/>
    <s v="Bookcases"/>
    <n v="1489.12"/>
    <n v="-246.75"/>
  </r>
  <r>
    <s v="ORD-0071"/>
    <d v="2025-06-23T00:00:00"/>
    <x v="1"/>
    <s v="Tennessee"/>
    <s v="Office Supplies"/>
    <s v="Labels"/>
    <n v="1740.06"/>
    <n v="-185.86"/>
  </r>
  <r>
    <s v="ORD-0072"/>
    <d v="2025-08-03T00:00:00"/>
    <x v="1"/>
    <s v="Florida"/>
    <s v="Technology"/>
    <s v="Phones"/>
    <n v="145.41"/>
    <n v="12.27"/>
  </r>
  <r>
    <s v="ORD-0073"/>
    <d v="2025-09-19T00:00:00"/>
    <x v="0"/>
    <s v="Virginia"/>
    <s v="Office Supplies"/>
    <s v="Storage"/>
    <n v="471.8"/>
    <n v="-75.290000000000006"/>
  </r>
  <r>
    <s v="ORD-0074"/>
    <d v="2025-09-17T00:00:00"/>
    <x v="2"/>
    <s v="Colorado"/>
    <s v="Technology"/>
    <s v="Phones"/>
    <n v="707.04"/>
    <n v="170.23"/>
  </r>
  <r>
    <s v="ORD-0075"/>
    <d v="2025-01-23T00:00:00"/>
    <x v="3"/>
    <s v="Missouri"/>
    <s v="Office Supplies"/>
    <s v="Paper"/>
    <n v="1233.71"/>
    <n v="-191.62"/>
  </r>
  <r>
    <s v="ORD-0076"/>
    <d v="2025-08-31T00:00:00"/>
    <x v="1"/>
    <s v="Tennessee"/>
    <s v="Furniture"/>
    <s v="Tables"/>
    <n v="344.46"/>
    <n v="76.34"/>
  </r>
  <r>
    <s v="ORD-0077"/>
    <d v="2025-07-05T00:00:00"/>
    <x v="0"/>
    <s v="Ohio"/>
    <s v="Technology"/>
    <s v="Phones"/>
    <n v="297.98"/>
    <n v="-2.34"/>
  </r>
  <r>
    <s v="ORD-0078"/>
    <d v="2025-07-05T00:00:00"/>
    <x v="0"/>
    <s v="Pennsylvania"/>
    <s v="Technology"/>
    <s v="Accessories"/>
    <n v="1720.21"/>
    <n v="141.81"/>
  </r>
  <r>
    <s v="ORD-0079"/>
    <d v="2025-05-08T00:00:00"/>
    <x v="1"/>
    <s v="Tennessee"/>
    <s v="Technology"/>
    <s v="Accessories"/>
    <n v="1308.69"/>
    <n v="-6.71"/>
  </r>
  <r>
    <s v="ORD-0080"/>
    <d v="2025-10-10T00:00:00"/>
    <x v="2"/>
    <s v="Washington"/>
    <s v="Furniture"/>
    <s v="Tables"/>
    <n v="75.760000000000005"/>
    <n v="-7.7"/>
  </r>
  <r>
    <s v="ORD-0081"/>
    <d v="2025-06-06T00:00:00"/>
    <x v="2"/>
    <s v="California"/>
    <s v="Office Supplies"/>
    <s v="Storage"/>
    <n v="788.48"/>
    <n v="-49.07"/>
  </r>
  <r>
    <s v="ORD-0082"/>
    <d v="2025-02-14T00:00:00"/>
    <x v="3"/>
    <s v="Minnesota"/>
    <s v="Technology"/>
    <s v="Phones"/>
    <n v="878.81"/>
    <n v="111.71"/>
  </r>
  <r>
    <s v="ORD-0083"/>
    <d v="2025-05-30T00:00:00"/>
    <x v="1"/>
    <s v="Florida"/>
    <s v="Furniture"/>
    <s v="Bookcases"/>
    <n v="1691.61"/>
    <n v="507.05"/>
  </r>
  <r>
    <s v="ORD-0084"/>
    <d v="2025-12-08T00:00:00"/>
    <x v="1"/>
    <s v="Georgia"/>
    <s v="Furniture"/>
    <s v="Tables"/>
    <n v="1651.2"/>
    <n v="156.22999999999999"/>
  </r>
  <r>
    <s v="ORD-0085"/>
    <d v="2025-08-12T00:00:00"/>
    <x v="0"/>
    <s v="Virginia"/>
    <s v="Furniture"/>
    <s v="Chairs"/>
    <n v="635.29999999999995"/>
    <n v="-100.9"/>
  </r>
  <r>
    <s v="ORD-0086"/>
    <d v="2025-11-30T00:00:00"/>
    <x v="1"/>
    <s v="North Carolina"/>
    <s v="Office Supplies"/>
    <s v="Paper"/>
    <n v="1650.31"/>
    <n v="501.68"/>
  </r>
  <r>
    <s v="ORD-0087"/>
    <d v="2025-08-06T00:00:00"/>
    <x v="0"/>
    <s v="Virginia"/>
    <s v="Furniture"/>
    <s v="Chairs"/>
    <n v="486.54"/>
    <n v="141.03"/>
  </r>
  <r>
    <s v="ORD-0088"/>
    <d v="2025-11-21T00:00:00"/>
    <x v="0"/>
    <s v="Virginia"/>
    <s v="Technology"/>
    <s v="Accessories"/>
    <n v="1476.85"/>
    <n v="173.5"/>
  </r>
  <r>
    <s v="ORD-0089"/>
    <d v="2025-09-25T00:00:00"/>
    <x v="3"/>
    <s v="Wisconsin"/>
    <s v="Furniture"/>
    <s v="Chairs"/>
    <n v="489.88"/>
    <n v="28.25"/>
  </r>
  <r>
    <s v="ORD-0090"/>
    <d v="2025-12-17T00:00:00"/>
    <x v="2"/>
    <s v="Colorado"/>
    <s v="Office Supplies"/>
    <s v="Labels"/>
    <n v="1725.87"/>
    <n v="74.03"/>
  </r>
  <r>
    <s v="ORD-0091"/>
    <d v="2025-03-30T00:00:00"/>
    <x v="2"/>
    <s v="Oregon"/>
    <s v="Technology"/>
    <s v="Machines"/>
    <n v="651.01"/>
    <n v="-104.14"/>
  </r>
  <r>
    <s v="ORD-0092"/>
    <d v="2025-09-01T00:00:00"/>
    <x v="0"/>
    <s v="Pennsylvania"/>
    <s v="Technology"/>
    <s v="Accessories"/>
    <n v="492.05"/>
    <n v="48.3"/>
  </r>
  <r>
    <s v="ORD-0093"/>
    <d v="2025-02-17T00:00:00"/>
    <x v="0"/>
    <s v="Ohio"/>
    <s v="Furniture"/>
    <s v="Chairs"/>
    <n v="1456.76"/>
    <n v="259.27999999999997"/>
  </r>
  <r>
    <s v="ORD-0094"/>
    <d v="2025-11-15T00:00:00"/>
    <x v="0"/>
    <s v="Massachusetts"/>
    <s v="Furniture"/>
    <s v="Chairs"/>
    <n v="622.92999999999995"/>
    <n v="146.29"/>
  </r>
  <r>
    <s v="ORD-0095"/>
    <d v="2025-03-19T00:00:00"/>
    <x v="0"/>
    <s v="Ohio"/>
    <s v="Office Supplies"/>
    <s v="Binders"/>
    <n v="1675.68"/>
    <n v="510.22"/>
  </r>
  <r>
    <s v="ORD-0096"/>
    <d v="2025-07-14T00:00:00"/>
    <x v="2"/>
    <s v="Colorado"/>
    <s v="Technology"/>
    <s v="Phones"/>
    <n v="1649.78"/>
    <n v="-296.72000000000003"/>
  </r>
  <r>
    <s v="ORD-0097"/>
    <d v="2025-09-26T00:00:00"/>
    <x v="3"/>
    <s v="Missouri"/>
    <s v="Furniture"/>
    <s v="Tables"/>
    <n v="1188.3499999999999"/>
    <n v="111.69"/>
  </r>
  <r>
    <s v="ORD-0098"/>
    <d v="2025-06-08T00:00:00"/>
    <x v="1"/>
    <s v="North Carolina"/>
    <s v="Office Supplies"/>
    <s v="Binders"/>
    <n v="419.91"/>
    <n v="35.049999999999997"/>
  </r>
  <r>
    <s v="ORD-0099"/>
    <d v="2025-12-12T00:00:00"/>
    <x v="2"/>
    <s v="California"/>
    <s v="Office Supplies"/>
    <s v="Storage"/>
    <n v="1376.32"/>
    <n v="-14.18"/>
  </r>
  <r>
    <s v="ORD-0100"/>
    <d v="2025-09-18T00:00:00"/>
    <x v="3"/>
    <s v="Missouri"/>
    <s v="Furniture"/>
    <s v="Bookcases"/>
    <n v="1207.8699999999999"/>
    <n v="10.88"/>
  </r>
  <r>
    <s v="ORD-0101"/>
    <d v="2025-03-01T00:00:00"/>
    <x v="0"/>
    <s v="New York"/>
    <s v="Office Supplies"/>
    <s v="Paper"/>
    <n v="243.72"/>
    <n v="45.37"/>
  </r>
  <r>
    <s v="ORD-0102"/>
    <d v="2025-02-21T00:00:00"/>
    <x v="3"/>
    <s v="Texas"/>
    <s v="Technology"/>
    <s v="Accessories"/>
    <n v="1759.22"/>
    <n v="83.84"/>
  </r>
  <r>
    <s v="ORD-0103"/>
    <d v="2025-10-07T00:00:00"/>
    <x v="2"/>
    <s v="Washington"/>
    <s v="Furniture"/>
    <s v="Bookcases"/>
    <n v="783.77"/>
    <n v="30.11"/>
  </r>
  <r>
    <s v="ORD-0104"/>
    <d v="2025-04-09T00:00:00"/>
    <x v="2"/>
    <s v="Washington"/>
    <s v="Technology"/>
    <s v="Machines"/>
    <n v="1179.97"/>
    <n v="28.36"/>
  </r>
  <r>
    <s v="ORD-0105"/>
    <d v="2025-06-30T00:00:00"/>
    <x v="1"/>
    <s v="Georgia"/>
    <s v="Furniture"/>
    <s v="Chairs"/>
    <n v="1465.21"/>
    <n v="129.80000000000001"/>
  </r>
  <r>
    <s v="ORD-0106"/>
    <d v="2025-09-04T00:00:00"/>
    <x v="2"/>
    <s v="Washington"/>
    <s v="Technology"/>
    <s v="Accessories"/>
    <n v="1072.68"/>
    <n v="212.62"/>
  </r>
  <r>
    <s v="ORD-0107"/>
    <d v="2025-05-28T00:00:00"/>
    <x v="3"/>
    <s v="Minnesota"/>
    <s v="Technology"/>
    <s v="Machines"/>
    <n v="67.61"/>
    <n v="16.45"/>
  </r>
  <r>
    <s v="ORD-0108"/>
    <d v="2025-03-04T00:00:00"/>
    <x v="3"/>
    <s v="Wisconsin"/>
    <s v="Office Supplies"/>
    <s v="Paper"/>
    <n v="936.52"/>
    <n v="-157.81"/>
  </r>
  <r>
    <s v="ORD-0109"/>
    <d v="2025-11-14T00:00:00"/>
    <x v="1"/>
    <s v="Tennessee"/>
    <s v="Furniture"/>
    <s v="Bookcases"/>
    <n v="155.54"/>
    <n v="-19.93"/>
  </r>
  <r>
    <s v="ORD-0110"/>
    <d v="2025-05-03T00:00:00"/>
    <x v="2"/>
    <s v="Oregon"/>
    <s v="Furniture"/>
    <s v="Bookcases"/>
    <n v="79.25"/>
    <n v="18.29"/>
  </r>
  <r>
    <s v="ORD-0111"/>
    <d v="2025-11-19T00:00:00"/>
    <x v="2"/>
    <s v="Colorado"/>
    <s v="Furniture"/>
    <s v="Bookcases"/>
    <n v="147.99"/>
    <n v="-21.98"/>
  </r>
  <r>
    <s v="ORD-0112"/>
    <d v="2025-12-02T00:00:00"/>
    <x v="1"/>
    <s v="Tennessee"/>
    <s v="Office Supplies"/>
    <s v="Paper"/>
    <n v="738.39"/>
    <n v="-91.28"/>
  </r>
  <r>
    <s v="ORD-0113"/>
    <d v="2025-09-18T00:00:00"/>
    <x v="3"/>
    <s v="Minnesota"/>
    <s v="Office Supplies"/>
    <s v="Labels"/>
    <n v="361.6"/>
    <n v="2.54"/>
  </r>
  <r>
    <s v="ORD-0114"/>
    <d v="2025-01-28T00:00:00"/>
    <x v="3"/>
    <s v="Texas"/>
    <s v="Technology"/>
    <s v="Phones"/>
    <n v="341.98"/>
    <n v="25.17"/>
  </r>
  <r>
    <s v="ORD-0115"/>
    <d v="2025-02-21T00:00:00"/>
    <x v="1"/>
    <s v="Georgia"/>
    <s v="Office Supplies"/>
    <s v="Binders"/>
    <n v="855.58"/>
    <n v="-7.88"/>
  </r>
  <r>
    <s v="ORD-0116"/>
    <d v="2025-11-13T00:00:00"/>
    <x v="3"/>
    <s v="Missouri"/>
    <s v="Office Supplies"/>
    <s v="Paper"/>
    <n v="1684.35"/>
    <n v="412.46"/>
  </r>
  <r>
    <s v="ORD-0117"/>
    <d v="2025-06-10T00:00:00"/>
    <x v="3"/>
    <s v="Missouri"/>
    <s v="Office Supplies"/>
    <s v="Binders"/>
    <n v="911.64"/>
    <n v="59.32"/>
  </r>
  <r>
    <s v="ORD-0118"/>
    <d v="2025-01-26T00:00:00"/>
    <x v="1"/>
    <s v="Tennessee"/>
    <s v="Office Supplies"/>
    <s v="Storage"/>
    <n v="1645.96"/>
    <n v="205.16"/>
  </r>
  <r>
    <s v="ORD-0119"/>
    <d v="2025-05-29T00:00:00"/>
    <x v="2"/>
    <s v="California"/>
    <s v="Technology"/>
    <s v="Phones"/>
    <n v="153.37"/>
    <n v="14.65"/>
  </r>
  <r>
    <s v="ORD-0120"/>
    <d v="2025-01-21T00:00:00"/>
    <x v="1"/>
    <s v="North Carolina"/>
    <s v="Furniture"/>
    <s v="Tables"/>
    <n v="1136.19"/>
    <n v="-6.46"/>
  </r>
  <r>
    <s v="ORD-0121"/>
    <d v="2025-02-16T00:00:00"/>
    <x v="0"/>
    <s v="Massachusetts"/>
    <s v="Furniture"/>
    <s v="Chairs"/>
    <n v="1722.94"/>
    <n v="356.42"/>
  </r>
  <r>
    <s v="ORD-0122"/>
    <d v="2025-04-30T00:00:00"/>
    <x v="2"/>
    <s v="Arizona"/>
    <s v="Furniture"/>
    <s v="Tables"/>
    <n v="721.17"/>
    <n v="-36.86"/>
  </r>
  <r>
    <s v="ORD-0123"/>
    <d v="2025-01-21T00:00:00"/>
    <x v="2"/>
    <s v="California"/>
    <s v="Office Supplies"/>
    <s v="Paper"/>
    <n v="1771.86"/>
    <n v="548.52"/>
  </r>
  <r>
    <s v="ORD-0124"/>
    <d v="2025-09-05T00:00:00"/>
    <x v="1"/>
    <s v="North Carolina"/>
    <s v="Technology"/>
    <s v="Machines"/>
    <n v="259.72000000000003"/>
    <n v="-42.67"/>
  </r>
  <r>
    <s v="ORD-0125"/>
    <d v="2025-09-27T00:00:00"/>
    <x v="3"/>
    <s v="Missouri"/>
    <s v="Technology"/>
    <s v="Accessories"/>
    <n v="760.66"/>
    <n v="207.37"/>
  </r>
  <r>
    <s v="ORD-0126"/>
    <d v="2025-09-14T00:00:00"/>
    <x v="1"/>
    <s v="Alabama"/>
    <s v="Office Supplies"/>
    <s v="Paper"/>
    <n v="1232.4100000000001"/>
    <n v="365.08"/>
  </r>
  <r>
    <s v="ORD-0127"/>
    <d v="2025-02-17T00:00:00"/>
    <x v="0"/>
    <s v="Massachusetts"/>
    <s v="Office Supplies"/>
    <s v="Binders"/>
    <n v="40.6"/>
    <n v="8.17"/>
  </r>
  <r>
    <s v="ORD-0128"/>
    <d v="2025-11-27T00:00:00"/>
    <x v="0"/>
    <s v="Ohio"/>
    <s v="Furniture"/>
    <s v="Bookcases"/>
    <n v="882.36"/>
    <n v="107.83"/>
  </r>
  <r>
    <s v="ORD-0129"/>
    <d v="2025-07-07T00:00:00"/>
    <x v="1"/>
    <s v="Alabama"/>
    <s v="Technology"/>
    <s v="Accessories"/>
    <n v="476.75"/>
    <n v="48.8"/>
  </r>
  <r>
    <s v="ORD-0130"/>
    <d v="2025-06-27T00:00:00"/>
    <x v="1"/>
    <s v="Georgia"/>
    <s v="Office Supplies"/>
    <s v="Paper"/>
    <n v="304.95999999999998"/>
    <n v="68.81"/>
  </r>
  <r>
    <s v="ORD-0131"/>
    <d v="2025-10-01T00:00:00"/>
    <x v="2"/>
    <s v="Arizona"/>
    <s v="Technology"/>
    <s v="Machines"/>
    <n v="1112.3"/>
    <n v="140.65"/>
  </r>
  <r>
    <s v="ORD-0132"/>
    <d v="2025-07-10T00:00:00"/>
    <x v="3"/>
    <s v="Texas"/>
    <s v="Technology"/>
    <s v="Machines"/>
    <n v="799.75"/>
    <n v="40.57"/>
  </r>
  <r>
    <s v="ORD-0133"/>
    <d v="2025-09-18T00:00:00"/>
    <x v="3"/>
    <s v="Texas"/>
    <s v="Technology"/>
    <s v="Accessories"/>
    <n v="1579.45"/>
    <n v="191.43"/>
  </r>
  <r>
    <s v="ORD-0134"/>
    <d v="2025-07-23T00:00:00"/>
    <x v="1"/>
    <s v="Georgia"/>
    <s v="Office Supplies"/>
    <s v="Labels"/>
    <n v="208.36"/>
    <n v="-2.64"/>
  </r>
  <r>
    <s v="ORD-0135"/>
    <d v="2025-01-14T00:00:00"/>
    <x v="1"/>
    <s v="North Carolina"/>
    <s v="Furniture"/>
    <s v="Bookcases"/>
    <n v="1003.49"/>
    <n v="53.8"/>
  </r>
  <r>
    <s v="ORD-0136"/>
    <d v="2025-08-08T00:00:00"/>
    <x v="1"/>
    <s v="Florida"/>
    <s v="Furniture"/>
    <s v="Bookcases"/>
    <n v="1228.29"/>
    <n v="91.66"/>
  </r>
  <r>
    <s v="ORD-0137"/>
    <d v="2025-03-07T00:00:00"/>
    <x v="2"/>
    <s v="California"/>
    <s v="Technology"/>
    <s v="Machines"/>
    <n v="394.01"/>
    <n v="41.35"/>
  </r>
  <r>
    <s v="ORD-0138"/>
    <d v="2025-12-23T00:00:00"/>
    <x v="0"/>
    <s v="Pennsylvania"/>
    <s v="Furniture"/>
    <s v="Tables"/>
    <n v="171.17"/>
    <n v="42.77"/>
  </r>
  <r>
    <s v="ORD-0139"/>
    <d v="2025-07-04T00:00:00"/>
    <x v="2"/>
    <s v="Oregon"/>
    <s v="Furniture"/>
    <s v="Bookcases"/>
    <n v="1323.98"/>
    <n v="165.99"/>
  </r>
  <r>
    <s v="ORD-0140"/>
    <d v="2025-11-12T00:00:00"/>
    <x v="2"/>
    <s v="Oregon"/>
    <s v="Furniture"/>
    <s v="Tables"/>
    <n v="1045.19"/>
    <n v="67.25"/>
  </r>
  <r>
    <s v="ORD-0141"/>
    <d v="2025-03-11T00:00:00"/>
    <x v="0"/>
    <s v="Pennsylvania"/>
    <s v="Technology"/>
    <s v="Phones"/>
    <n v="331.91"/>
    <n v="-14.53"/>
  </r>
  <r>
    <s v="ORD-0142"/>
    <d v="2025-06-14T00:00:00"/>
    <x v="3"/>
    <s v="Illinois"/>
    <s v="Furniture"/>
    <s v="Chairs"/>
    <n v="1747.92"/>
    <n v="244.91"/>
  </r>
  <r>
    <s v="ORD-0143"/>
    <d v="2025-10-04T00:00:00"/>
    <x v="3"/>
    <s v="Texas"/>
    <s v="Technology"/>
    <s v="Accessories"/>
    <n v="1583.69"/>
    <n v="243.11"/>
  </r>
  <r>
    <s v="ORD-0144"/>
    <d v="2025-11-07T00:00:00"/>
    <x v="0"/>
    <s v="Massachusetts"/>
    <s v="Technology"/>
    <s v="Accessories"/>
    <n v="563.32000000000005"/>
    <n v="112.97"/>
  </r>
  <r>
    <s v="ORD-0145"/>
    <d v="2025-11-05T00:00:00"/>
    <x v="1"/>
    <s v="North Carolina"/>
    <s v="Office Supplies"/>
    <s v="Labels"/>
    <n v="1107.44"/>
    <n v="-1.64"/>
  </r>
  <r>
    <s v="ORD-0146"/>
    <d v="2025-08-26T00:00:00"/>
    <x v="2"/>
    <s v="Colorado"/>
    <s v="Furniture"/>
    <s v="Bookcases"/>
    <n v="598.85"/>
    <n v="128.31"/>
  </r>
  <r>
    <s v="ORD-0147"/>
    <d v="2025-01-19T00:00:00"/>
    <x v="3"/>
    <s v="Missouri"/>
    <s v="Furniture"/>
    <s v="Chairs"/>
    <n v="867.12"/>
    <n v="-16.07"/>
  </r>
  <r>
    <s v="ORD-0148"/>
    <d v="2025-03-19T00:00:00"/>
    <x v="2"/>
    <s v="California"/>
    <s v="Technology"/>
    <s v="Accessories"/>
    <n v="213.3"/>
    <n v="-31.43"/>
  </r>
  <r>
    <s v="ORD-0149"/>
    <d v="2025-04-27T00:00:00"/>
    <x v="0"/>
    <s v="Virginia"/>
    <s v="Furniture"/>
    <s v="Bookcases"/>
    <n v="1110.6099999999999"/>
    <n v="16.48"/>
  </r>
  <r>
    <s v="ORD-0150"/>
    <d v="2025-08-12T00:00:00"/>
    <x v="1"/>
    <s v="Tennessee"/>
    <s v="Technology"/>
    <s v="Machines"/>
    <n v="1237.6400000000001"/>
    <n v="228.3"/>
  </r>
  <r>
    <s v="ORD-0151"/>
    <d v="2025-01-13T00:00:00"/>
    <x v="1"/>
    <s v="Alabama"/>
    <s v="Technology"/>
    <s v="Phones"/>
    <n v="503.21"/>
    <n v="123.14"/>
  </r>
  <r>
    <s v="ORD-0152"/>
    <d v="2025-12-19T00:00:00"/>
    <x v="0"/>
    <s v="Massachusetts"/>
    <s v="Furniture"/>
    <s v="Tables"/>
    <n v="1472.84"/>
    <n v="443.54"/>
  </r>
  <r>
    <s v="ORD-0153"/>
    <d v="2025-08-26T00:00:00"/>
    <x v="1"/>
    <s v="Tennessee"/>
    <s v="Technology"/>
    <s v="Accessories"/>
    <n v="632.07000000000005"/>
    <n v="-36.380000000000003"/>
  </r>
  <r>
    <s v="ORD-0154"/>
    <d v="2025-10-09T00:00:00"/>
    <x v="2"/>
    <s v="Oregon"/>
    <s v="Office Supplies"/>
    <s v="Storage"/>
    <n v="358.59"/>
    <n v="-6.07"/>
  </r>
  <r>
    <s v="ORD-0155"/>
    <d v="2025-09-30T00:00:00"/>
    <x v="0"/>
    <s v="Massachusetts"/>
    <s v="Office Supplies"/>
    <s v="Binders"/>
    <n v="82.47"/>
    <n v="15.62"/>
  </r>
  <r>
    <s v="ORD-0156"/>
    <d v="2025-02-26T00:00:00"/>
    <x v="2"/>
    <s v="California"/>
    <s v="Office Supplies"/>
    <s v="Paper"/>
    <n v="1468.52"/>
    <n v="-242.07"/>
  </r>
  <r>
    <s v="ORD-0157"/>
    <d v="2025-01-18T00:00:00"/>
    <x v="3"/>
    <s v="Illinois"/>
    <s v="Furniture"/>
    <s v="Chairs"/>
    <n v="185.35"/>
    <n v="4.83"/>
  </r>
  <r>
    <s v="ORD-0158"/>
    <d v="2025-01-01T00:00:00"/>
    <x v="1"/>
    <s v="North Carolina"/>
    <s v="Office Supplies"/>
    <s v="Paper"/>
    <n v="1518.82"/>
    <n v="-56.82"/>
  </r>
  <r>
    <s v="ORD-0159"/>
    <d v="2025-03-25T00:00:00"/>
    <x v="3"/>
    <s v="Illinois"/>
    <s v="Furniture"/>
    <s v="Tables"/>
    <n v="239.98"/>
    <n v="45.8"/>
  </r>
  <r>
    <s v="ORD-0160"/>
    <d v="2025-06-29T00:00:00"/>
    <x v="2"/>
    <s v="Colorado"/>
    <s v="Furniture"/>
    <s v="Bookcases"/>
    <n v="370"/>
    <n v="25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556C5-1B0F-468B-8F67-A1A0F48770A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8">
    <pivotField showAll="0"/>
    <pivotField numFmtId="14"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</pivotFields>
  <rowFields count="1">
    <field x="2"/>
  </rowFields>
  <rowItems count="5">
    <i>
      <x/>
    </i>
    <i>
      <x v="2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/>
    <dataField name="Sum of Profit" fld="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C123F-2EBE-48B7-BE5E-EFBC499C26E1}" name="Table1" displayName="Table1" ref="A1:H161" totalsRowShown="0" headerRowDxfId="6" dataDxfId="7">
  <autoFilter ref="A1:H161" xr:uid="{92BC123F-2EBE-48B7-BE5E-EFBC499C26E1}"/>
  <tableColumns count="8">
    <tableColumn id="1" xr3:uid="{42629619-C1B6-4B16-957D-F77AD5A95107}" name="Order ID" dataDxfId="15"/>
    <tableColumn id="2" xr3:uid="{24E2E918-0E9E-4EA7-8084-6DAD3E972B4A}" name="Order Date" dataDxfId="14"/>
    <tableColumn id="3" xr3:uid="{E81E60AA-6232-4CA7-82E6-876571F7645C}" name="Region" dataDxfId="13"/>
    <tableColumn id="4" xr3:uid="{0F8EA695-805A-41D8-AEDC-560B1953252D}" name="State" dataDxfId="12"/>
    <tableColumn id="5" xr3:uid="{74CE16B0-D75E-4AA9-9B60-78A028D82B5C}" name="Category" dataDxfId="11"/>
    <tableColumn id="6" xr3:uid="{4325ABE5-7849-4830-A8EC-798862AAAEEA}" name="Sub-Category" dataDxfId="10"/>
    <tableColumn id="7" xr3:uid="{80D6525F-B425-4F48-A57E-4FA3FD2686F7}" name="Sales" dataDxfId="9"/>
    <tableColumn id="8" xr3:uid="{BAC6ACCE-5C8C-47B2-BC93-F9F92E40E99C}" name="Profit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5988-302F-4BF7-8C41-D0FFF3D5FFC9}">
  <dimension ref="A3:C8"/>
  <sheetViews>
    <sheetView tabSelected="1" workbookViewId="0">
      <selection activeCell="D13" sqref="D13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4" t="s">
        <v>205</v>
      </c>
      <c r="B3" s="2" t="s">
        <v>207</v>
      </c>
      <c r="C3" s="2" t="s">
        <v>208</v>
      </c>
    </row>
    <row r="4" spans="1:3" x14ac:dyDescent="0.3">
      <c r="A4" s="5" t="s">
        <v>42</v>
      </c>
      <c r="B4" s="6">
        <v>41824.629999999997</v>
      </c>
      <c r="C4" s="6">
        <v>2657.93</v>
      </c>
    </row>
    <row r="5" spans="1:3" x14ac:dyDescent="0.3">
      <c r="A5" s="5" t="s">
        <v>18</v>
      </c>
      <c r="B5" s="6">
        <v>36187.949999999997</v>
      </c>
      <c r="C5" s="6">
        <v>2252.4799999999991</v>
      </c>
    </row>
    <row r="6" spans="1:3" x14ac:dyDescent="0.3">
      <c r="A6" s="5" t="s">
        <v>9</v>
      </c>
      <c r="B6" s="6">
        <v>34679.689999999988</v>
      </c>
      <c r="C6" s="6">
        <v>4834.880000000001</v>
      </c>
    </row>
    <row r="7" spans="1:3" x14ac:dyDescent="0.3">
      <c r="A7" s="5" t="s">
        <v>27</v>
      </c>
      <c r="B7" s="6">
        <v>29733.14</v>
      </c>
      <c r="C7" s="6">
        <v>593.1400000000001</v>
      </c>
    </row>
    <row r="8" spans="1:3" x14ac:dyDescent="0.3">
      <c r="A8" s="5" t="s">
        <v>206</v>
      </c>
      <c r="B8" s="6">
        <v>142425.40999999997</v>
      </c>
      <c r="C8" s="6">
        <v>10338.43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BBE6-C8B7-4003-B07B-9B15BA739734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E49D-339C-40D4-87DD-9B0DD28366BE}">
  <dimension ref="A1:H161"/>
  <sheetViews>
    <sheetView workbookViewId="0">
      <selection activeCell="F13" sqref="F13"/>
    </sheetView>
  </sheetViews>
  <sheetFormatPr defaultRowHeight="13.8" x14ac:dyDescent="0.25"/>
  <cols>
    <col min="1" max="1" width="10.77734375" style="2" customWidth="1"/>
    <col min="2" max="2" width="12.5546875" style="2" customWidth="1"/>
    <col min="3" max="3" width="9" style="2" customWidth="1"/>
    <col min="4" max="4" width="8.88671875" style="2"/>
    <col min="5" max="5" width="10.77734375" style="2" customWidth="1"/>
    <col min="6" max="6" width="14.77734375" style="2" customWidth="1"/>
    <col min="7" max="8" width="9" style="2" bestFit="1" customWidth="1"/>
    <col min="9" max="16384" width="8.88671875" style="2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45908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827.18</v>
      </c>
      <c r="H2" s="2">
        <v>-49.84</v>
      </c>
    </row>
    <row r="3" spans="1:8" x14ac:dyDescent="0.25">
      <c r="A3" s="2" t="s">
        <v>13</v>
      </c>
      <c r="B3" s="3">
        <v>45787</v>
      </c>
      <c r="C3" s="2" t="s">
        <v>9</v>
      </c>
      <c r="D3" s="2" t="s">
        <v>14</v>
      </c>
      <c r="E3" s="2" t="s">
        <v>15</v>
      </c>
      <c r="F3" s="2" t="s">
        <v>16</v>
      </c>
      <c r="G3" s="2">
        <v>843.95</v>
      </c>
      <c r="H3" s="2">
        <v>-40.29</v>
      </c>
    </row>
    <row r="4" spans="1:8" x14ac:dyDescent="0.25">
      <c r="A4" s="2" t="s">
        <v>17</v>
      </c>
      <c r="B4" s="3">
        <v>45778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1380.72</v>
      </c>
      <c r="H4" s="2">
        <v>-128.18</v>
      </c>
    </row>
    <row r="5" spans="1:8" x14ac:dyDescent="0.25">
      <c r="A5" s="2" t="s">
        <v>22</v>
      </c>
      <c r="B5" s="3">
        <v>46004</v>
      </c>
      <c r="C5" s="2" t="s">
        <v>9</v>
      </c>
      <c r="D5" s="2" t="s">
        <v>10</v>
      </c>
      <c r="E5" s="2" t="s">
        <v>11</v>
      </c>
      <c r="F5" s="2" t="s">
        <v>12</v>
      </c>
      <c r="G5" s="2">
        <v>680.17</v>
      </c>
      <c r="H5" s="2">
        <v>50.24</v>
      </c>
    </row>
    <row r="6" spans="1:8" x14ac:dyDescent="0.25">
      <c r="A6" s="2" t="s">
        <v>23</v>
      </c>
      <c r="B6" s="3">
        <v>45865</v>
      </c>
      <c r="C6" s="2" t="s">
        <v>9</v>
      </c>
      <c r="D6" s="2" t="s">
        <v>24</v>
      </c>
      <c r="E6" s="2" t="s">
        <v>20</v>
      </c>
      <c r="F6" s="2" t="s">
        <v>25</v>
      </c>
      <c r="G6" s="2">
        <v>502.72</v>
      </c>
      <c r="H6" s="2">
        <v>-4.34</v>
      </c>
    </row>
    <row r="7" spans="1:8" x14ac:dyDescent="0.25">
      <c r="A7" s="2" t="s">
        <v>26</v>
      </c>
      <c r="B7" s="3">
        <v>45796</v>
      </c>
      <c r="C7" s="2" t="s">
        <v>27</v>
      </c>
      <c r="D7" s="2" t="s">
        <v>28</v>
      </c>
      <c r="E7" s="2" t="s">
        <v>20</v>
      </c>
      <c r="F7" s="2" t="s">
        <v>25</v>
      </c>
      <c r="G7" s="2">
        <v>1082.46</v>
      </c>
      <c r="H7" s="2">
        <v>90.24</v>
      </c>
    </row>
    <row r="8" spans="1:8" x14ac:dyDescent="0.25">
      <c r="A8" s="2" t="s">
        <v>29</v>
      </c>
      <c r="B8" s="3">
        <v>45914</v>
      </c>
      <c r="C8" s="2" t="s">
        <v>18</v>
      </c>
      <c r="D8" s="2" t="s">
        <v>19</v>
      </c>
      <c r="E8" s="2" t="s">
        <v>20</v>
      </c>
      <c r="F8" s="2" t="s">
        <v>30</v>
      </c>
      <c r="G8" s="2">
        <v>531.54</v>
      </c>
      <c r="H8" s="2">
        <v>55.25</v>
      </c>
    </row>
    <row r="9" spans="1:8" x14ac:dyDescent="0.25">
      <c r="A9" s="2" t="s">
        <v>31</v>
      </c>
      <c r="B9" s="3">
        <v>45989</v>
      </c>
      <c r="C9" s="2" t="s">
        <v>27</v>
      </c>
      <c r="D9" s="2" t="s">
        <v>32</v>
      </c>
      <c r="E9" s="2" t="s">
        <v>20</v>
      </c>
      <c r="F9" s="2" t="s">
        <v>21</v>
      </c>
      <c r="G9" s="2">
        <v>1435.15</v>
      </c>
      <c r="H9" s="2">
        <v>-122.1</v>
      </c>
    </row>
    <row r="10" spans="1:8" x14ac:dyDescent="0.25">
      <c r="A10" s="2" t="s">
        <v>33</v>
      </c>
      <c r="B10" s="3">
        <v>45761</v>
      </c>
      <c r="C10" s="2" t="s">
        <v>9</v>
      </c>
      <c r="D10" s="2" t="s">
        <v>34</v>
      </c>
      <c r="E10" s="2" t="s">
        <v>15</v>
      </c>
      <c r="F10" s="2" t="s">
        <v>35</v>
      </c>
      <c r="G10" s="2">
        <v>1047.6500000000001</v>
      </c>
      <c r="H10" s="2">
        <v>289.31</v>
      </c>
    </row>
    <row r="11" spans="1:8" x14ac:dyDescent="0.25">
      <c r="A11" s="2" t="s">
        <v>36</v>
      </c>
      <c r="B11" s="3">
        <v>45994</v>
      </c>
      <c r="C11" s="2" t="s">
        <v>18</v>
      </c>
      <c r="D11" s="2" t="s">
        <v>37</v>
      </c>
      <c r="E11" s="2" t="s">
        <v>20</v>
      </c>
      <c r="F11" s="2" t="s">
        <v>25</v>
      </c>
      <c r="G11" s="2">
        <v>1430.59</v>
      </c>
      <c r="H11" s="2">
        <v>338.32</v>
      </c>
    </row>
    <row r="12" spans="1:8" x14ac:dyDescent="0.25">
      <c r="A12" s="2" t="s">
        <v>38</v>
      </c>
      <c r="B12" s="3">
        <v>45698</v>
      </c>
      <c r="C12" s="2" t="s">
        <v>27</v>
      </c>
      <c r="D12" s="2" t="s">
        <v>39</v>
      </c>
      <c r="E12" s="2" t="s">
        <v>11</v>
      </c>
      <c r="F12" s="2" t="s">
        <v>40</v>
      </c>
      <c r="G12" s="2">
        <v>296.06</v>
      </c>
      <c r="H12" s="2">
        <v>-30.76</v>
      </c>
    </row>
    <row r="13" spans="1:8" x14ac:dyDescent="0.25">
      <c r="A13" s="2" t="s">
        <v>41</v>
      </c>
      <c r="B13" s="3">
        <v>45980</v>
      </c>
      <c r="C13" s="2" t="s">
        <v>42</v>
      </c>
      <c r="D13" s="2" t="s">
        <v>43</v>
      </c>
      <c r="E13" s="2" t="s">
        <v>20</v>
      </c>
      <c r="F13" s="2" t="s">
        <v>25</v>
      </c>
      <c r="G13" s="2">
        <v>394.82</v>
      </c>
      <c r="H13" s="2">
        <v>108.65</v>
      </c>
    </row>
    <row r="14" spans="1:8" x14ac:dyDescent="0.25">
      <c r="A14" s="2" t="s">
        <v>44</v>
      </c>
      <c r="B14" s="3">
        <v>45862</v>
      </c>
      <c r="C14" s="2" t="s">
        <v>42</v>
      </c>
      <c r="D14" s="2" t="s">
        <v>43</v>
      </c>
      <c r="E14" s="2" t="s">
        <v>11</v>
      </c>
      <c r="F14" s="2" t="s">
        <v>12</v>
      </c>
      <c r="G14" s="2">
        <v>1530.76</v>
      </c>
      <c r="H14" s="2">
        <v>-208.83</v>
      </c>
    </row>
    <row r="15" spans="1:8" x14ac:dyDescent="0.25">
      <c r="A15" s="2" t="s">
        <v>45</v>
      </c>
      <c r="B15" s="3">
        <v>46006</v>
      </c>
      <c r="C15" s="2" t="s">
        <v>9</v>
      </c>
      <c r="D15" s="2" t="s">
        <v>46</v>
      </c>
      <c r="E15" s="2" t="s">
        <v>15</v>
      </c>
      <c r="F15" s="2" t="s">
        <v>35</v>
      </c>
      <c r="G15" s="2">
        <v>263.12</v>
      </c>
      <c r="H15" s="2">
        <v>45.71</v>
      </c>
    </row>
    <row r="16" spans="1:8" x14ac:dyDescent="0.25">
      <c r="A16" s="2" t="s">
        <v>47</v>
      </c>
      <c r="B16" s="3">
        <v>45722</v>
      </c>
      <c r="C16" s="2" t="s">
        <v>9</v>
      </c>
      <c r="D16" s="2" t="s">
        <v>10</v>
      </c>
      <c r="E16" s="2" t="s">
        <v>15</v>
      </c>
      <c r="F16" s="2" t="s">
        <v>16</v>
      </c>
      <c r="G16" s="2">
        <v>1323.87</v>
      </c>
      <c r="H16" s="2">
        <v>166.34</v>
      </c>
    </row>
    <row r="17" spans="1:8" x14ac:dyDescent="0.25">
      <c r="A17" s="2" t="s">
        <v>48</v>
      </c>
      <c r="B17" s="3">
        <v>45991</v>
      </c>
      <c r="C17" s="2" t="s">
        <v>42</v>
      </c>
      <c r="D17" s="2" t="s">
        <v>43</v>
      </c>
      <c r="E17" s="2" t="s">
        <v>20</v>
      </c>
      <c r="F17" s="2" t="s">
        <v>25</v>
      </c>
      <c r="G17" s="2">
        <v>292.75</v>
      </c>
      <c r="H17" s="2">
        <v>-28.87</v>
      </c>
    </row>
    <row r="18" spans="1:8" x14ac:dyDescent="0.25">
      <c r="A18" s="2" t="s">
        <v>49</v>
      </c>
      <c r="B18" s="3">
        <v>45709</v>
      </c>
      <c r="C18" s="2" t="s">
        <v>42</v>
      </c>
      <c r="D18" s="2" t="s">
        <v>50</v>
      </c>
      <c r="E18" s="2" t="s">
        <v>20</v>
      </c>
      <c r="F18" s="2" t="s">
        <v>21</v>
      </c>
      <c r="G18" s="2">
        <v>1021.04</v>
      </c>
      <c r="H18" s="2">
        <v>50.5</v>
      </c>
    </row>
    <row r="19" spans="1:8" x14ac:dyDescent="0.25">
      <c r="A19" s="2" t="s">
        <v>51</v>
      </c>
      <c r="B19" s="3">
        <v>45870</v>
      </c>
      <c r="C19" s="2" t="s">
        <v>18</v>
      </c>
      <c r="D19" s="2" t="s">
        <v>19</v>
      </c>
      <c r="E19" s="2" t="s">
        <v>15</v>
      </c>
      <c r="F19" s="2" t="s">
        <v>35</v>
      </c>
      <c r="G19" s="2">
        <v>881.56</v>
      </c>
      <c r="H19" s="2">
        <v>87.44</v>
      </c>
    </row>
    <row r="20" spans="1:8" x14ac:dyDescent="0.25">
      <c r="A20" s="2" t="s">
        <v>52</v>
      </c>
      <c r="B20" s="3">
        <v>45810</v>
      </c>
      <c r="C20" s="2" t="s">
        <v>9</v>
      </c>
      <c r="D20" s="2" t="s">
        <v>10</v>
      </c>
      <c r="E20" s="2" t="s">
        <v>11</v>
      </c>
      <c r="F20" s="2" t="s">
        <v>53</v>
      </c>
      <c r="G20" s="2">
        <v>1725.26</v>
      </c>
      <c r="H20" s="2">
        <v>319.39999999999998</v>
      </c>
    </row>
    <row r="21" spans="1:8" x14ac:dyDescent="0.25">
      <c r="A21" s="2" t="s">
        <v>54</v>
      </c>
      <c r="B21" s="3">
        <v>45926</v>
      </c>
      <c r="C21" s="2" t="s">
        <v>42</v>
      </c>
      <c r="D21" s="2" t="s">
        <v>55</v>
      </c>
      <c r="E21" s="2" t="s">
        <v>11</v>
      </c>
      <c r="F21" s="2" t="s">
        <v>40</v>
      </c>
      <c r="G21" s="2">
        <v>1373.95</v>
      </c>
      <c r="H21" s="2">
        <v>258.27999999999997</v>
      </c>
    </row>
    <row r="22" spans="1:8" x14ac:dyDescent="0.25">
      <c r="A22" s="2" t="s">
        <v>56</v>
      </c>
      <c r="B22" s="3">
        <v>45776</v>
      </c>
      <c r="C22" s="2" t="s">
        <v>9</v>
      </c>
      <c r="D22" s="2" t="s">
        <v>24</v>
      </c>
      <c r="E22" s="2" t="s">
        <v>15</v>
      </c>
      <c r="F22" s="2" t="s">
        <v>57</v>
      </c>
      <c r="G22" s="2">
        <v>323.06</v>
      </c>
      <c r="H22" s="2">
        <v>34.29</v>
      </c>
    </row>
    <row r="23" spans="1:8" x14ac:dyDescent="0.25">
      <c r="A23" s="2" t="s">
        <v>58</v>
      </c>
      <c r="B23" s="3">
        <v>45703</v>
      </c>
      <c r="C23" s="2" t="s">
        <v>18</v>
      </c>
      <c r="D23" s="2" t="s">
        <v>37</v>
      </c>
      <c r="E23" s="2" t="s">
        <v>11</v>
      </c>
      <c r="F23" s="2" t="s">
        <v>12</v>
      </c>
      <c r="G23" s="2">
        <v>694.9</v>
      </c>
      <c r="H23" s="2">
        <v>-0.83</v>
      </c>
    </row>
    <row r="24" spans="1:8" x14ac:dyDescent="0.25">
      <c r="A24" s="2" t="s">
        <v>59</v>
      </c>
      <c r="B24" s="3">
        <v>45920</v>
      </c>
      <c r="C24" s="2" t="s">
        <v>18</v>
      </c>
      <c r="D24" s="2" t="s">
        <v>60</v>
      </c>
      <c r="E24" s="2" t="s">
        <v>15</v>
      </c>
      <c r="F24" s="2" t="s">
        <v>61</v>
      </c>
      <c r="G24" s="2">
        <v>734.97</v>
      </c>
      <c r="H24" s="2">
        <v>17.61</v>
      </c>
    </row>
    <row r="25" spans="1:8" x14ac:dyDescent="0.25">
      <c r="A25" s="2" t="s">
        <v>62</v>
      </c>
      <c r="B25" s="3">
        <v>45789</v>
      </c>
      <c r="C25" s="2" t="s">
        <v>42</v>
      </c>
      <c r="D25" s="2" t="s">
        <v>43</v>
      </c>
      <c r="E25" s="2" t="s">
        <v>15</v>
      </c>
      <c r="F25" s="2" t="s">
        <v>35</v>
      </c>
      <c r="G25" s="2">
        <v>1451.58</v>
      </c>
      <c r="H25" s="2">
        <v>-228.11</v>
      </c>
    </row>
    <row r="26" spans="1:8" x14ac:dyDescent="0.25">
      <c r="A26" s="2" t="s">
        <v>63</v>
      </c>
      <c r="B26" s="3">
        <v>46013</v>
      </c>
      <c r="C26" s="2" t="s">
        <v>18</v>
      </c>
      <c r="D26" s="2" t="s">
        <v>60</v>
      </c>
      <c r="E26" s="2" t="s">
        <v>11</v>
      </c>
      <c r="F26" s="2" t="s">
        <v>53</v>
      </c>
      <c r="G26" s="2">
        <v>536.38</v>
      </c>
      <c r="H26" s="2">
        <v>3.78</v>
      </c>
    </row>
    <row r="27" spans="1:8" x14ac:dyDescent="0.25">
      <c r="A27" s="2" t="s">
        <v>64</v>
      </c>
      <c r="B27" s="3">
        <v>45943</v>
      </c>
      <c r="C27" s="2" t="s">
        <v>42</v>
      </c>
      <c r="D27" s="2" t="s">
        <v>43</v>
      </c>
      <c r="E27" s="2" t="s">
        <v>11</v>
      </c>
      <c r="F27" s="2" t="s">
        <v>40</v>
      </c>
      <c r="G27" s="2">
        <v>1509.04</v>
      </c>
      <c r="H27" s="2">
        <v>-75.34</v>
      </c>
    </row>
    <row r="28" spans="1:8" x14ac:dyDescent="0.25">
      <c r="A28" s="2" t="s">
        <v>65</v>
      </c>
      <c r="B28" s="3">
        <v>45819</v>
      </c>
      <c r="C28" s="2" t="s">
        <v>42</v>
      </c>
      <c r="D28" s="2" t="s">
        <v>55</v>
      </c>
      <c r="E28" s="2" t="s">
        <v>11</v>
      </c>
      <c r="F28" s="2" t="s">
        <v>12</v>
      </c>
      <c r="G28" s="2">
        <v>168.79</v>
      </c>
      <c r="H28" s="2">
        <v>9.08</v>
      </c>
    </row>
    <row r="29" spans="1:8" x14ac:dyDescent="0.25">
      <c r="A29" s="2" t="s">
        <v>66</v>
      </c>
      <c r="B29" s="3">
        <v>45909</v>
      </c>
      <c r="C29" s="2" t="s">
        <v>42</v>
      </c>
      <c r="D29" s="2" t="s">
        <v>67</v>
      </c>
      <c r="E29" s="2" t="s">
        <v>11</v>
      </c>
      <c r="F29" s="2" t="s">
        <v>40</v>
      </c>
      <c r="G29" s="2">
        <v>1556.18</v>
      </c>
      <c r="H29" s="2">
        <v>439.75</v>
      </c>
    </row>
    <row r="30" spans="1:8" x14ac:dyDescent="0.25">
      <c r="A30" s="2" t="s">
        <v>68</v>
      </c>
      <c r="B30" s="3">
        <v>45989</v>
      </c>
      <c r="C30" s="2" t="s">
        <v>27</v>
      </c>
      <c r="D30" s="2" t="s">
        <v>39</v>
      </c>
      <c r="E30" s="2" t="s">
        <v>15</v>
      </c>
      <c r="F30" s="2" t="s">
        <v>16</v>
      </c>
      <c r="G30" s="2">
        <v>838.91</v>
      </c>
      <c r="H30" s="2">
        <v>-142.35</v>
      </c>
    </row>
    <row r="31" spans="1:8" x14ac:dyDescent="0.25">
      <c r="A31" s="2" t="s">
        <v>69</v>
      </c>
      <c r="B31" s="3">
        <v>45691</v>
      </c>
      <c r="C31" s="2" t="s">
        <v>9</v>
      </c>
      <c r="D31" s="2" t="s">
        <v>34</v>
      </c>
      <c r="E31" s="2" t="s">
        <v>11</v>
      </c>
      <c r="F31" s="2" t="s">
        <v>53</v>
      </c>
      <c r="G31" s="2">
        <v>735.89</v>
      </c>
      <c r="H31" s="2">
        <v>143.82</v>
      </c>
    </row>
    <row r="32" spans="1:8" x14ac:dyDescent="0.25">
      <c r="A32" s="2" t="s">
        <v>70</v>
      </c>
      <c r="B32" s="3">
        <v>45988</v>
      </c>
      <c r="C32" s="2" t="s">
        <v>42</v>
      </c>
      <c r="D32" s="2" t="s">
        <v>71</v>
      </c>
      <c r="E32" s="2" t="s">
        <v>15</v>
      </c>
      <c r="F32" s="2" t="s">
        <v>61</v>
      </c>
      <c r="G32" s="2">
        <v>469.94</v>
      </c>
      <c r="H32" s="2">
        <v>-51.69</v>
      </c>
    </row>
    <row r="33" spans="1:8" x14ac:dyDescent="0.25">
      <c r="A33" s="2" t="s">
        <v>72</v>
      </c>
      <c r="B33" s="3">
        <v>45666</v>
      </c>
      <c r="C33" s="2" t="s">
        <v>42</v>
      </c>
      <c r="D33" s="2" t="s">
        <v>67</v>
      </c>
      <c r="E33" s="2" t="s">
        <v>11</v>
      </c>
      <c r="F33" s="2" t="s">
        <v>53</v>
      </c>
      <c r="G33" s="2">
        <v>1300.5</v>
      </c>
      <c r="H33" s="2">
        <v>56.17</v>
      </c>
    </row>
    <row r="34" spans="1:8" x14ac:dyDescent="0.25">
      <c r="A34" s="2" t="s">
        <v>73</v>
      </c>
      <c r="B34" s="3">
        <v>45728</v>
      </c>
      <c r="C34" s="2" t="s">
        <v>27</v>
      </c>
      <c r="D34" s="2" t="s">
        <v>32</v>
      </c>
      <c r="E34" s="2" t="s">
        <v>20</v>
      </c>
      <c r="F34" s="2" t="s">
        <v>21</v>
      </c>
      <c r="G34" s="2">
        <v>938.25</v>
      </c>
      <c r="H34" s="2">
        <v>-42.92</v>
      </c>
    </row>
    <row r="35" spans="1:8" x14ac:dyDescent="0.25">
      <c r="A35" s="2" t="s">
        <v>74</v>
      </c>
      <c r="B35" s="3">
        <v>46019</v>
      </c>
      <c r="C35" s="2" t="s">
        <v>9</v>
      </c>
      <c r="D35" s="2" t="s">
        <v>46</v>
      </c>
      <c r="E35" s="2" t="s">
        <v>20</v>
      </c>
      <c r="F35" s="2" t="s">
        <v>25</v>
      </c>
      <c r="G35" s="2">
        <v>872.99</v>
      </c>
      <c r="H35" s="2">
        <v>72.53</v>
      </c>
    </row>
    <row r="36" spans="1:8" x14ac:dyDescent="0.25">
      <c r="A36" s="2" t="s">
        <v>75</v>
      </c>
      <c r="B36" s="3">
        <v>45804</v>
      </c>
      <c r="C36" s="2" t="s">
        <v>42</v>
      </c>
      <c r="D36" s="2" t="s">
        <v>67</v>
      </c>
      <c r="E36" s="2" t="s">
        <v>20</v>
      </c>
      <c r="F36" s="2" t="s">
        <v>25</v>
      </c>
      <c r="G36" s="2">
        <v>550.98</v>
      </c>
      <c r="H36" s="2">
        <v>174.2</v>
      </c>
    </row>
    <row r="37" spans="1:8" x14ac:dyDescent="0.25">
      <c r="A37" s="2" t="s">
        <v>76</v>
      </c>
      <c r="B37" s="3">
        <v>45768</v>
      </c>
      <c r="C37" s="2" t="s">
        <v>42</v>
      </c>
      <c r="D37" s="2" t="s">
        <v>50</v>
      </c>
      <c r="E37" s="2" t="s">
        <v>11</v>
      </c>
      <c r="F37" s="2" t="s">
        <v>12</v>
      </c>
      <c r="G37" s="2">
        <v>1158.5999999999999</v>
      </c>
      <c r="H37" s="2">
        <v>92.78</v>
      </c>
    </row>
    <row r="38" spans="1:8" x14ac:dyDescent="0.25">
      <c r="A38" s="2" t="s">
        <v>77</v>
      </c>
      <c r="B38" s="3">
        <v>45940</v>
      </c>
      <c r="C38" s="2" t="s">
        <v>9</v>
      </c>
      <c r="D38" s="2" t="s">
        <v>24</v>
      </c>
      <c r="E38" s="2" t="s">
        <v>15</v>
      </c>
      <c r="F38" s="2" t="s">
        <v>61</v>
      </c>
      <c r="G38" s="2">
        <v>367.57</v>
      </c>
      <c r="H38" s="2">
        <v>-53.91</v>
      </c>
    </row>
    <row r="39" spans="1:8" x14ac:dyDescent="0.25">
      <c r="A39" s="2" t="s">
        <v>78</v>
      </c>
      <c r="B39" s="3">
        <v>45907</v>
      </c>
      <c r="C39" s="2" t="s">
        <v>42</v>
      </c>
      <c r="D39" s="2" t="s">
        <v>43</v>
      </c>
      <c r="E39" s="2" t="s">
        <v>15</v>
      </c>
      <c r="F39" s="2" t="s">
        <v>61</v>
      </c>
      <c r="G39" s="2">
        <v>846.07</v>
      </c>
      <c r="H39" s="2">
        <v>158.66999999999999</v>
      </c>
    </row>
    <row r="40" spans="1:8" x14ac:dyDescent="0.25">
      <c r="A40" s="2" t="s">
        <v>79</v>
      </c>
      <c r="B40" s="3">
        <v>45810</v>
      </c>
      <c r="C40" s="2" t="s">
        <v>9</v>
      </c>
      <c r="D40" s="2" t="s">
        <v>24</v>
      </c>
      <c r="E40" s="2" t="s">
        <v>11</v>
      </c>
      <c r="F40" s="2" t="s">
        <v>40</v>
      </c>
      <c r="G40" s="2">
        <v>604.46</v>
      </c>
      <c r="H40" s="2">
        <v>-29.21</v>
      </c>
    </row>
    <row r="41" spans="1:8" x14ac:dyDescent="0.25">
      <c r="A41" s="2" t="s">
        <v>80</v>
      </c>
      <c r="B41" s="3">
        <v>45941</v>
      </c>
      <c r="C41" s="2" t="s">
        <v>9</v>
      </c>
      <c r="D41" s="2" t="s">
        <v>34</v>
      </c>
      <c r="E41" s="2" t="s">
        <v>15</v>
      </c>
      <c r="F41" s="2" t="s">
        <v>16</v>
      </c>
      <c r="G41" s="2">
        <v>1332.93</v>
      </c>
      <c r="H41" s="2">
        <v>225.7</v>
      </c>
    </row>
    <row r="42" spans="1:8" x14ac:dyDescent="0.25">
      <c r="A42" s="2" t="s">
        <v>81</v>
      </c>
      <c r="B42" s="3">
        <v>45690</v>
      </c>
      <c r="C42" s="2" t="s">
        <v>18</v>
      </c>
      <c r="D42" s="2" t="s">
        <v>37</v>
      </c>
      <c r="E42" s="2" t="s">
        <v>15</v>
      </c>
      <c r="F42" s="2" t="s">
        <v>61</v>
      </c>
      <c r="G42" s="2">
        <v>97.46</v>
      </c>
      <c r="H42" s="2">
        <v>14.44</v>
      </c>
    </row>
    <row r="43" spans="1:8" x14ac:dyDescent="0.25">
      <c r="A43" s="2" t="s">
        <v>82</v>
      </c>
      <c r="B43" s="3">
        <v>45790</v>
      </c>
      <c r="C43" s="2" t="s">
        <v>9</v>
      </c>
      <c r="D43" s="2" t="s">
        <v>46</v>
      </c>
      <c r="E43" s="2" t="s">
        <v>15</v>
      </c>
      <c r="F43" s="2" t="s">
        <v>57</v>
      </c>
      <c r="G43" s="2">
        <v>193.6</v>
      </c>
      <c r="H43" s="2">
        <v>57.84</v>
      </c>
    </row>
    <row r="44" spans="1:8" x14ac:dyDescent="0.25">
      <c r="A44" s="2" t="s">
        <v>83</v>
      </c>
      <c r="B44" s="3">
        <v>45735</v>
      </c>
      <c r="C44" s="2" t="s">
        <v>9</v>
      </c>
      <c r="D44" s="2" t="s">
        <v>46</v>
      </c>
      <c r="E44" s="2" t="s">
        <v>15</v>
      </c>
      <c r="F44" s="2" t="s">
        <v>57</v>
      </c>
      <c r="G44" s="2">
        <v>1597.75</v>
      </c>
      <c r="H44" s="2">
        <v>410.86</v>
      </c>
    </row>
    <row r="45" spans="1:8" x14ac:dyDescent="0.25">
      <c r="A45" s="2" t="s">
        <v>84</v>
      </c>
      <c r="B45" s="3">
        <v>45805</v>
      </c>
      <c r="C45" s="2" t="s">
        <v>18</v>
      </c>
      <c r="D45" s="2" t="s">
        <v>19</v>
      </c>
      <c r="E45" s="2" t="s">
        <v>11</v>
      </c>
      <c r="F45" s="2" t="s">
        <v>40</v>
      </c>
      <c r="G45" s="2">
        <v>653.27</v>
      </c>
      <c r="H45" s="2">
        <v>-105.56</v>
      </c>
    </row>
    <row r="46" spans="1:8" x14ac:dyDescent="0.25">
      <c r="A46" s="2" t="s">
        <v>85</v>
      </c>
      <c r="B46" s="3">
        <v>45761</v>
      </c>
      <c r="C46" s="2" t="s">
        <v>9</v>
      </c>
      <c r="D46" s="2" t="s">
        <v>14</v>
      </c>
      <c r="E46" s="2" t="s">
        <v>11</v>
      </c>
      <c r="F46" s="2" t="s">
        <v>12</v>
      </c>
      <c r="G46" s="2">
        <v>302.08999999999997</v>
      </c>
      <c r="H46" s="2">
        <v>68.430000000000007</v>
      </c>
    </row>
    <row r="47" spans="1:8" x14ac:dyDescent="0.25">
      <c r="A47" s="2" t="s">
        <v>86</v>
      </c>
      <c r="B47" s="3">
        <v>45734</v>
      </c>
      <c r="C47" s="2" t="s">
        <v>42</v>
      </c>
      <c r="D47" s="2" t="s">
        <v>50</v>
      </c>
      <c r="E47" s="2" t="s">
        <v>11</v>
      </c>
      <c r="F47" s="2" t="s">
        <v>12</v>
      </c>
      <c r="G47" s="2">
        <v>1466.87</v>
      </c>
      <c r="H47" s="2">
        <v>311.35000000000002</v>
      </c>
    </row>
    <row r="48" spans="1:8" x14ac:dyDescent="0.25">
      <c r="A48" s="2" t="s">
        <v>87</v>
      </c>
      <c r="B48" s="3">
        <v>45941</v>
      </c>
      <c r="C48" s="2" t="s">
        <v>9</v>
      </c>
      <c r="D48" s="2" t="s">
        <v>46</v>
      </c>
      <c r="E48" s="2" t="s">
        <v>20</v>
      </c>
      <c r="F48" s="2" t="s">
        <v>21</v>
      </c>
      <c r="G48" s="2">
        <v>319.87</v>
      </c>
      <c r="H48" s="2">
        <v>-8.98</v>
      </c>
    </row>
    <row r="49" spans="1:8" x14ac:dyDescent="0.25">
      <c r="A49" s="2" t="s">
        <v>88</v>
      </c>
      <c r="B49" s="3">
        <v>45840</v>
      </c>
      <c r="C49" s="2" t="s">
        <v>18</v>
      </c>
      <c r="D49" s="2" t="s">
        <v>19</v>
      </c>
      <c r="E49" s="2" t="s">
        <v>20</v>
      </c>
      <c r="F49" s="2" t="s">
        <v>21</v>
      </c>
      <c r="G49" s="2">
        <v>621.17999999999995</v>
      </c>
      <c r="H49" s="2">
        <v>-31.38</v>
      </c>
    </row>
    <row r="50" spans="1:8" x14ac:dyDescent="0.25">
      <c r="A50" s="2" t="s">
        <v>89</v>
      </c>
      <c r="B50" s="3">
        <v>45717</v>
      </c>
      <c r="C50" s="2" t="s">
        <v>27</v>
      </c>
      <c r="D50" s="2" t="s">
        <v>90</v>
      </c>
      <c r="E50" s="2" t="s">
        <v>15</v>
      </c>
      <c r="F50" s="2" t="s">
        <v>35</v>
      </c>
      <c r="G50" s="2">
        <v>771.77</v>
      </c>
      <c r="H50" s="2">
        <v>173.14</v>
      </c>
    </row>
    <row r="51" spans="1:8" x14ac:dyDescent="0.25">
      <c r="A51" s="2" t="s">
        <v>91</v>
      </c>
      <c r="B51" s="3">
        <v>45842</v>
      </c>
      <c r="C51" s="2" t="s">
        <v>27</v>
      </c>
      <c r="D51" s="2" t="s">
        <v>39</v>
      </c>
      <c r="E51" s="2" t="s">
        <v>11</v>
      </c>
      <c r="F51" s="2" t="s">
        <v>12</v>
      </c>
      <c r="G51" s="2">
        <v>1662.3</v>
      </c>
      <c r="H51" s="2">
        <v>-127.15</v>
      </c>
    </row>
    <row r="52" spans="1:8" x14ac:dyDescent="0.25">
      <c r="A52" s="2" t="s">
        <v>92</v>
      </c>
      <c r="B52" s="3">
        <v>45854</v>
      </c>
      <c r="C52" s="2" t="s">
        <v>27</v>
      </c>
      <c r="D52" s="2" t="s">
        <v>90</v>
      </c>
      <c r="E52" s="2" t="s">
        <v>15</v>
      </c>
      <c r="F52" s="2" t="s">
        <v>61</v>
      </c>
      <c r="G52" s="2">
        <v>877.69</v>
      </c>
      <c r="H52" s="2">
        <v>-44.46</v>
      </c>
    </row>
    <row r="53" spans="1:8" x14ac:dyDescent="0.25">
      <c r="A53" s="2" t="s">
        <v>93</v>
      </c>
      <c r="B53" s="3">
        <v>46014</v>
      </c>
      <c r="C53" s="2" t="s">
        <v>18</v>
      </c>
      <c r="D53" s="2" t="s">
        <v>60</v>
      </c>
      <c r="E53" s="2" t="s">
        <v>15</v>
      </c>
      <c r="F53" s="2" t="s">
        <v>16</v>
      </c>
      <c r="G53" s="2">
        <v>375.58</v>
      </c>
      <c r="H53" s="2">
        <v>39.619999999999997</v>
      </c>
    </row>
    <row r="54" spans="1:8" x14ac:dyDescent="0.25">
      <c r="A54" s="2" t="s">
        <v>94</v>
      </c>
      <c r="B54" s="3">
        <v>45713</v>
      </c>
      <c r="C54" s="2" t="s">
        <v>9</v>
      </c>
      <c r="D54" s="2" t="s">
        <v>46</v>
      </c>
      <c r="E54" s="2" t="s">
        <v>20</v>
      </c>
      <c r="F54" s="2" t="s">
        <v>21</v>
      </c>
      <c r="G54" s="2">
        <v>729.39</v>
      </c>
      <c r="H54" s="2">
        <v>58.63</v>
      </c>
    </row>
    <row r="55" spans="1:8" x14ac:dyDescent="0.25">
      <c r="A55" s="2" t="s">
        <v>95</v>
      </c>
      <c r="B55" s="3">
        <v>45693</v>
      </c>
      <c r="C55" s="2" t="s">
        <v>42</v>
      </c>
      <c r="D55" s="2" t="s">
        <v>43</v>
      </c>
      <c r="E55" s="2" t="s">
        <v>15</v>
      </c>
      <c r="F55" s="2" t="s">
        <v>35</v>
      </c>
      <c r="G55" s="2">
        <v>1501.85</v>
      </c>
      <c r="H55" s="2">
        <v>364.75</v>
      </c>
    </row>
    <row r="56" spans="1:8" x14ac:dyDescent="0.25">
      <c r="A56" s="2" t="s">
        <v>96</v>
      </c>
      <c r="B56" s="3">
        <v>46003</v>
      </c>
      <c r="C56" s="2" t="s">
        <v>18</v>
      </c>
      <c r="D56" s="2" t="s">
        <v>60</v>
      </c>
      <c r="E56" s="2" t="s">
        <v>15</v>
      </c>
      <c r="F56" s="2" t="s">
        <v>16</v>
      </c>
      <c r="G56" s="2">
        <v>1548.08</v>
      </c>
      <c r="H56" s="2">
        <v>-124.12</v>
      </c>
    </row>
    <row r="57" spans="1:8" x14ac:dyDescent="0.25">
      <c r="A57" s="2" t="s">
        <v>97</v>
      </c>
      <c r="B57" s="3">
        <v>45926</v>
      </c>
      <c r="C57" s="2" t="s">
        <v>18</v>
      </c>
      <c r="D57" s="2" t="s">
        <v>98</v>
      </c>
      <c r="E57" s="2" t="s">
        <v>20</v>
      </c>
      <c r="F57" s="2" t="s">
        <v>25</v>
      </c>
      <c r="G57" s="2">
        <v>1047.6500000000001</v>
      </c>
      <c r="H57" s="2">
        <v>-61.65</v>
      </c>
    </row>
    <row r="58" spans="1:8" x14ac:dyDescent="0.25">
      <c r="A58" s="2" t="s">
        <v>99</v>
      </c>
      <c r="B58" s="3">
        <v>45791</v>
      </c>
      <c r="C58" s="2" t="s">
        <v>9</v>
      </c>
      <c r="D58" s="2" t="s">
        <v>10</v>
      </c>
      <c r="E58" s="2" t="s">
        <v>11</v>
      </c>
      <c r="F58" s="2" t="s">
        <v>12</v>
      </c>
      <c r="G58" s="2">
        <v>943.26</v>
      </c>
      <c r="H58" s="2">
        <v>-9.2200000000000006</v>
      </c>
    </row>
    <row r="59" spans="1:8" x14ac:dyDescent="0.25">
      <c r="A59" s="2" t="s">
        <v>100</v>
      </c>
      <c r="B59" s="3">
        <v>45839</v>
      </c>
      <c r="C59" s="2" t="s">
        <v>18</v>
      </c>
      <c r="D59" s="2" t="s">
        <v>37</v>
      </c>
      <c r="E59" s="2" t="s">
        <v>20</v>
      </c>
      <c r="F59" s="2" t="s">
        <v>25</v>
      </c>
      <c r="G59" s="2">
        <v>992.39</v>
      </c>
      <c r="H59" s="2">
        <v>2.84</v>
      </c>
    </row>
    <row r="60" spans="1:8" x14ac:dyDescent="0.25">
      <c r="A60" s="2" t="s">
        <v>101</v>
      </c>
      <c r="B60" s="3">
        <v>45754</v>
      </c>
      <c r="C60" s="2" t="s">
        <v>9</v>
      </c>
      <c r="D60" s="2" t="s">
        <v>10</v>
      </c>
      <c r="E60" s="2" t="s">
        <v>15</v>
      </c>
      <c r="F60" s="2" t="s">
        <v>61</v>
      </c>
      <c r="G60" s="2">
        <v>98.55</v>
      </c>
      <c r="H60" s="2">
        <v>-16.73</v>
      </c>
    </row>
    <row r="61" spans="1:8" x14ac:dyDescent="0.25">
      <c r="A61" s="2" t="s">
        <v>102</v>
      </c>
      <c r="B61" s="3">
        <v>45823</v>
      </c>
      <c r="C61" s="2" t="s">
        <v>9</v>
      </c>
      <c r="D61" s="2" t="s">
        <v>24</v>
      </c>
      <c r="E61" s="2" t="s">
        <v>15</v>
      </c>
      <c r="F61" s="2" t="s">
        <v>35</v>
      </c>
      <c r="G61" s="2">
        <v>226.46</v>
      </c>
      <c r="H61" s="2">
        <v>55.73</v>
      </c>
    </row>
    <row r="62" spans="1:8" x14ac:dyDescent="0.25">
      <c r="A62" s="2" t="s">
        <v>103</v>
      </c>
      <c r="B62" s="3">
        <v>46017</v>
      </c>
      <c r="C62" s="2" t="s">
        <v>42</v>
      </c>
      <c r="D62" s="2" t="s">
        <v>43</v>
      </c>
      <c r="E62" s="2" t="s">
        <v>15</v>
      </c>
      <c r="F62" s="2" t="s">
        <v>61</v>
      </c>
      <c r="G62" s="2">
        <v>1723.7</v>
      </c>
      <c r="H62" s="2">
        <v>-118.52</v>
      </c>
    </row>
    <row r="63" spans="1:8" x14ac:dyDescent="0.25">
      <c r="A63" s="2" t="s">
        <v>104</v>
      </c>
      <c r="B63" s="3">
        <v>45831</v>
      </c>
      <c r="C63" s="2" t="s">
        <v>27</v>
      </c>
      <c r="D63" s="2" t="s">
        <v>28</v>
      </c>
      <c r="E63" s="2" t="s">
        <v>11</v>
      </c>
      <c r="F63" s="2" t="s">
        <v>53</v>
      </c>
      <c r="G63" s="2">
        <v>249.92</v>
      </c>
      <c r="H63" s="2">
        <v>-5.93</v>
      </c>
    </row>
    <row r="64" spans="1:8" x14ac:dyDescent="0.25">
      <c r="A64" s="2" t="s">
        <v>105</v>
      </c>
      <c r="B64" s="3">
        <v>46004</v>
      </c>
      <c r="C64" s="2" t="s">
        <v>9</v>
      </c>
      <c r="D64" s="2" t="s">
        <v>34</v>
      </c>
      <c r="E64" s="2" t="s">
        <v>20</v>
      </c>
      <c r="F64" s="2" t="s">
        <v>30</v>
      </c>
      <c r="G64" s="2">
        <v>1608.38</v>
      </c>
      <c r="H64" s="2">
        <v>342.06</v>
      </c>
    </row>
    <row r="65" spans="1:8" x14ac:dyDescent="0.25">
      <c r="A65" s="2" t="s">
        <v>106</v>
      </c>
      <c r="B65" s="3">
        <v>45857</v>
      </c>
      <c r="C65" s="2" t="s">
        <v>9</v>
      </c>
      <c r="D65" s="2" t="s">
        <v>34</v>
      </c>
      <c r="E65" s="2" t="s">
        <v>11</v>
      </c>
      <c r="F65" s="2" t="s">
        <v>12</v>
      </c>
      <c r="G65" s="2">
        <v>50.78</v>
      </c>
      <c r="H65" s="2">
        <v>4.82</v>
      </c>
    </row>
    <row r="66" spans="1:8" x14ac:dyDescent="0.25">
      <c r="A66" s="2" t="s">
        <v>107</v>
      </c>
      <c r="B66" s="3">
        <v>45867</v>
      </c>
      <c r="C66" s="2" t="s">
        <v>42</v>
      </c>
      <c r="D66" s="2" t="s">
        <v>43</v>
      </c>
      <c r="E66" s="2" t="s">
        <v>20</v>
      </c>
      <c r="F66" s="2" t="s">
        <v>30</v>
      </c>
      <c r="G66" s="2">
        <v>1512.46</v>
      </c>
      <c r="H66" s="2">
        <v>191.92</v>
      </c>
    </row>
    <row r="67" spans="1:8" x14ac:dyDescent="0.25">
      <c r="A67" s="2" t="s">
        <v>108</v>
      </c>
      <c r="B67" s="3">
        <v>45878</v>
      </c>
      <c r="C67" s="2" t="s">
        <v>9</v>
      </c>
      <c r="D67" s="2" t="s">
        <v>14</v>
      </c>
      <c r="E67" s="2" t="s">
        <v>15</v>
      </c>
      <c r="F67" s="2" t="s">
        <v>61</v>
      </c>
      <c r="G67" s="2">
        <v>1200.7</v>
      </c>
      <c r="H67" s="2">
        <v>325.14999999999998</v>
      </c>
    </row>
    <row r="68" spans="1:8" x14ac:dyDescent="0.25">
      <c r="A68" s="2" t="s">
        <v>109</v>
      </c>
      <c r="B68" s="3">
        <v>45890</v>
      </c>
      <c r="C68" s="2" t="s">
        <v>27</v>
      </c>
      <c r="D68" s="2" t="s">
        <v>28</v>
      </c>
      <c r="E68" s="2" t="s">
        <v>11</v>
      </c>
      <c r="F68" s="2" t="s">
        <v>40</v>
      </c>
      <c r="G68" s="2">
        <v>1617.53</v>
      </c>
      <c r="H68" s="2">
        <v>-25.81</v>
      </c>
    </row>
    <row r="69" spans="1:8" x14ac:dyDescent="0.25">
      <c r="A69" s="2" t="s">
        <v>110</v>
      </c>
      <c r="B69" s="3">
        <v>45786</v>
      </c>
      <c r="C69" s="2" t="s">
        <v>27</v>
      </c>
      <c r="D69" s="2" t="s">
        <v>39</v>
      </c>
      <c r="E69" s="2" t="s">
        <v>11</v>
      </c>
      <c r="F69" s="2" t="s">
        <v>40</v>
      </c>
      <c r="G69" s="2">
        <v>194.04</v>
      </c>
      <c r="H69" s="2">
        <v>15.34</v>
      </c>
    </row>
    <row r="70" spans="1:8" x14ac:dyDescent="0.25">
      <c r="A70" s="2" t="s">
        <v>111</v>
      </c>
      <c r="B70" s="3">
        <v>45724</v>
      </c>
      <c r="C70" s="2" t="s">
        <v>42</v>
      </c>
      <c r="D70" s="2" t="s">
        <v>71</v>
      </c>
      <c r="E70" s="2" t="s">
        <v>20</v>
      </c>
      <c r="F70" s="2" t="s">
        <v>21</v>
      </c>
      <c r="G70" s="2">
        <v>1680.17</v>
      </c>
      <c r="H70" s="2">
        <v>-74.89</v>
      </c>
    </row>
    <row r="71" spans="1:8" x14ac:dyDescent="0.25">
      <c r="A71" s="2" t="s">
        <v>112</v>
      </c>
      <c r="B71" s="3">
        <v>45812</v>
      </c>
      <c r="C71" s="2" t="s">
        <v>42</v>
      </c>
      <c r="D71" s="2" t="s">
        <v>71</v>
      </c>
      <c r="E71" s="2" t="s">
        <v>11</v>
      </c>
      <c r="F71" s="2" t="s">
        <v>12</v>
      </c>
      <c r="G71" s="2">
        <v>1489.12</v>
      </c>
      <c r="H71" s="2">
        <v>-246.75</v>
      </c>
    </row>
    <row r="72" spans="1:8" x14ac:dyDescent="0.25">
      <c r="A72" s="2" t="s">
        <v>113</v>
      </c>
      <c r="B72" s="3">
        <v>45831</v>
      </c>
      <c r="C72" s="2" t="s">
        <v>18</v>
      </c>
      <c r="D72" s="2" t="s">
        <v>60</v>
      </c>
      <c r="E72" s="2" t="s">
        <v>15</v>
      </c>
      <c r="F72" s="2" t="s">
        <v>35</v>
      </c>
      <c r="G72" s="2">
        <v>1740.06</v>
      </c>
      <c r="H72" s="2">
        <v>-185.86</v>
      </c>
    </row>
    <row r="73" spans="1:8" x14ac:dyDescent="0.25">
      <c r="A73" s="2" t="s">
        <v>114</v>
      </c>
      <c r="B73" s="3">
        <v>45872</v>
      </c>
      <c r="C73" s="2" t="s">
        <v>18</v>
      </c>
      <c r="D73" s="2" t="s">
        <v>98</v>
      </c>
      <c r="E73" s="2" t="s">
        <v>20</v>
      </c>
      <c r="F73" s="2" t="s">
        <v>30</v>
      </c>
      <c r="G73" s="2">
        <v>145.41</v>
      </c>
      <c r="H73" s="2">
        <v>12.27</v>
      </c>
    </row>
    <row r="74" spans="1:8" x14ac:dyDescent="0.25">
      <c r="A74" s="2" t="s">
        <v>115</v>
      </c>
      <c r="B74" s="3">
        <v>45919</v>
      </c>
      <c r="C74" s="2" t="s">
        <v>9</v>
      </c>
      <c r="D74" s="2" t="s">
        <v>34</v>
      </c>
      <c r="E74" s="2" t="s">
        <v>15</v>
      </c>
      <c r="F74" s="2" t="s">
        <v>16</v>
      </c>
      <c r="G74" s="2">
        <v>471.8</v>
      </c>
      <c r="H74" s="2">
        <v>-75.290000000000006</v>
      </c>
    </row>
    <row r="75" spans="1:8" x14ac:dyDescent="0.25">
      <c r="A75" s="2" t="s">
        <v>116</v>
      </c>
      <c r="B75" s="3">
        <v>45917</v>
      </c>
      <c r="C75" s="2" t="s">
        <v>27</v>
      </c>
      <c r="D75" s="2" t="s">
        <v>32</v>
      </c>
      <c r="E75" s="2" t="s">
        <v>20</v>
      </c>
      <c r="F75" s="2" t="s">
        <v>30</v>
      </c>
      <c r="G75" s="2">
        <v>707.04</v>
      </c>
      <c r="H75" s="2">
        <v>170.23</v>
      </c>
    </row>
    <row r="76" spans="1:8" x14ac:dyDescent="0.25">
      <c r="A76" s="2" t="s">
        <v>117</v>
      </c>
      <c r="B76" s="3">
        <v>45680</v>
      </c>
      <c r="C76" s="2" t="s">
        <v>42</v>
      </c>
      <c r="D76" s="2" t="s">
        <v>67</v>
      </c>
      <c r="E76" s="2" t="s">
        <v>15</v>
      </c>
      <c r="F76" s="2" t="s">
        <v>61</v>
      </c>
      <c r="G76" s="2">
        <v>1233.71</v>
      </c>
      <c r="H76" s="2">
        <v>-191.62</v>
      </c>
    </row>
    <row r="77" spans="1:8" x14ac:dyDescent="0.25">
      <c r="A77" s="2" t="s">
        <v>118</v>
      </c>
      <c r="B77" s="3">
        <v>45900</v>
      </c>
      <c r="C77" s="2" t="s">
        <v>18</v>
      </c>
      <c r="D77" s="2" t="s">
        <v>60</v>
      </c>
      <c r="E77" s="2" t="s">
        <v>11</v>
      </c>
      <c r="F77" s="2" t="s">
        <v>40</v>
      </c>
      <c r="G77" s="2">
        <v>344.46</v>
      </c>
      <c r="H77" s="2">
        <v>76.34</v>
      </c>
    </row>
    <row r="78" spans="1:8" x14ac:dyDescent="0.25">
      <c r="A78" s="2" t="s">
        <v>119</v>
      </c>
      <c r="B78" s="3">
        <v>45843</v>
      </c>
      <c r="C78" s="2" t="s">
        <v>9</v>
      </c>
      <c r="D78" s="2" t="s">
        <v>46</v>
      </c>
      <c r="E78" s="2" t="s">
        <v>20</v>
      </c>
      <c r="F78" s="2" t="s">
        <v>30</v>
      </c>
      <c r="G78" s="2">
        <v>297.98</v>
      </c>
      <c r="H78" s="2">
        <v>-2.34</v>
      </c>
    </row>
    <row r="79" spans="1:8" x14ac:dyDescent="0.25">
      <c r="A79" s="2" t="s">
        <v>120</v>
      </c>
      <c r="B79" s="3">
        <v>45843</v>
      </c>
      <c r="C79" s="2" t="s">
        <v>9</v>
      </c>
      <c r="D79" s="2" t="s">
        <v>24</v>
      </c>
      <c r="E79" s="2" t="s">
        <v>20</v>
      </c>
      <c r="F79" s="2" t="s">
        <v>25</v>
      </c>
      <c r="G79" s="2">
        <v>1720.21</v>
      </c>
      <c r="H79" s="2">
        <v>141.81</v>
      </c>
    </row>
    <row r="80" spans="1:8" x14ac:dyDescent="0.25">
      <c r="A80" s="2" t="s">
        <v>121</v>
      </c>
      <c r="B80" s="3">
        <v>45785</v>
      </c>
      <c r="C80" s="2" t="s">
        <v>18</v>
      </c>
      <c r="D80" s="2" t="s">
        <v>60</v>
      </c>
      <c r="E80" s="2" t="s">
        <v>20</v>
      </c>
      <c r="F80" s="2" t="s">
        <v>25</v>
      </c>
      <c r="G80" s="2">
        <v>1308.69</v>
      </c>
      <c r="H80" s="2">
        <v>-6.71</v>
      </c>
    </row>
    <row r="81" spans="1:8" x14ac:dyDescent="0.25">
      <c r="A81" s="2" t="s">
        <v>122</v>
      </c>
      <c r="B81" s="3">
        <v>45940</v>
      </c>
      <c r="C81" s="2" t="s">
        <v>27</v>
      </c>
      <c r="D81" s="2" t="s">
        <v>39</v>
      </c>
      <c r="E81" s="2" t="s">
        <v>11</v>
      </c>
      <c r="F81" s="2" t="s">
        <v>40</v>
      </c>
      <c r="G81" s="2">
        <v>75.760000000000005</v>
      </c>
      <c r="H81" s="2">
        <v>-7.7</v>
      </c>
    </row>
    <row r="82" spans="1:8" x14ac:dyDescent="0.25">
      <c r="A82" s="2" t="s">
        <v>123</v>
      </c>
      <c r="B82" s="3">
        <v>45814</v>
      </c>
      <c r="C82" s="2" t="s">
        <v>27</v>
      </c>
      <c r="D82" s="2" t="s">
        <v>124</v>
      </c>
      <c r="E82" s="2" t="s">
        <v>15</v>
      </c>
      <c r="F82" s="2" t="s">
        <v>16</v>
      </c>
      <c r="G82" s="2">
        <v>788.48</v>
      </c>
      <c r="H82" s="2">
        <v>-49.07</v>
      </c>
    </row>
    <row r="83" spans="1:8" x14ac:dyDescent="0.25">
      <c r="A83" s="2" t="s">
        <v>125</v>
      </c>
      <c r="B83" s="3">
        <v>45702</v>
      </c>
      <c r="C83" s="2" t="s">
        <v>42</v>
      </c>
      <c r="D83" s="2" t="s">
        <v>43</v>
      </c>
      <c r="E83" s="2" t="s">
        <v>20</v>
      </c>
      <c r="F83" s="2" t="s">
        <v>30</v>
      </c>
      <c r="G83" s="2">
        <v>878.81</v>
      </c>
      <c r="H83" s="2">
        <v>111.71</v>
      </c>
    </row>
    <row r="84" spans="1:8" x14ac:dyDescent="0.25">
      <c r="A84" s="2" t="s">
        <v>126</v>
      </c>
      <c r="B84" s="3">
        <v>45807</v>
      </c>
      <c r="C84" s="2" t="s">
        <v>18</v>
      </c>
      <c r="D84" s="2" t="s">
        <v>98</v>
      </c>
      <c r="E84" s="2" t="s">
        <v>11</v>
      </c>
      <c r="F84" s="2" t="s">
        <v>12</v>
      </c>
      <c r="G84" s="2">
        <v>1691.61</v>
      </c>
      <c r="H84" s="2">
        <v>507.05</v>
      </c>
    </row>
    <row r="85" spans="1:8" x14ac:dyDescent="0.25">
      <c r="A85" s="2" t="s">
        <v>127</v>
      </c>
      <c r="B85" s="3">
        <v>45999</v>
      </c>
      <c r="C85" s="2" t="s">
        <v>18</v>
      </c>
      <c r="D85" s="2" t="s">
        <v>19</v>
      </c>
      <c r="E85" s="2" t="s">
        <v>11</v>
      </c>
      <c r="F85" s="2" t="s">
        <v>40</v>
      </c>
      <c r="G85" s="2">
        <v>1651.2</v>
      </c>
      <c r="H85" s="2">
        <v>156.22999999999999</v>
      </c>
    </row>
    <row r="86" spans="1:8" x14ac:dyDescent="0.25">
      <c r="A86" s="2" t="s">
        <v>128</v>
      </c>
      <c r="B86" s="3">
        <v>45881</v>
      </c>
      <c r="C86" s="2" t="s">
        <v>9</v>
      </c>
      <c r="D86" s="2" t="s">
        <v>34</v>
      </c>
      <c r="E86" s="2" t="s">
        <v>11</v>
      </c>
      <c r="F86" s="2" t="s">
        <v>53</v>
      </c>
      <c r="G86" s="2">
        <v>635.29999999999995</v>
      </c>
      <c r="H86" s="2">
        <v>-100.9</v>
      </c>
    </row>
    <row r="87" spans="1:8" x14ac:dyDescent="0.25">
      <c r="A87" s="2" t="s">
        <v>129</v>
      </c>
      <c r="B87" s="3">
        <v>45991</v>
      </c>
      <c r="C87" s="2" t="s">
        <v>18</v>
      </c>
      <c r="D87" s="2" t="s">
        <v>130</v>
      </c>
      <c r="E87" s="2" t="s">
        <v>15</v>
      </c>
      <c r="F87" s="2" t="s">
        <v>61</v>
      </c>
      <c r="G87" s="2">
        <v>1650.31</v>
      </c>
      <c r="H87" s="2">
        <v>501.68</v>
      </c>
    </row>
    <row r="88" spans="1:8" x14ac:dyDescent="0.25">
      <c r="A88" s="2" t="s">
        <v>131</v>
      </c>
      <c r="B88" s="3">
        <v>45875</v>
      </c>
      <c r="C88" s="2" t="s">
        <v>9</v>
      </c>
      <c r="D88" s="2" t="s">
        <v>34</v>
      </c>
      <c r="E88" s="2" t="s">
        <v>11</v>
      </c>
      <c r="F88" s="2" t="s">
        <v>53</v>
      </c>
      <c r="G88" s="2">
        <v>486.54</v>
      </c>
      <c r="H88" s="2">
        <v>141.03</v>
      </c>
    </row>
    <row r="89" spans="1:8" x14ac:dyDescent="0.25">
      <c r="A89" s="2" t="s">
        <v>132</v>
      </c>
      <c r="B89" s="3">
        <v>45982</v>
      </c>
      <c r="C89" s="2" t="s">
        <v>9</v>
      </c>
      <c r="D89" s="2" t="s">
        <v>34</v>
      </c>
      <c r="E89" s="2" t="s">
        <v>20</v>
      </c>
      <c r="F89" s="2" t="s">
        <v>25</v>
      </c>
      <c r="G89" s="2">
        <v>1476.85</v>
      </c>
      <c r="H89" s="2">
        <v>173.5</v>
      </c>
    </row>
    <row r="90" spans="1:8" x14ac:dyDescent="0.25">
      <c r="A90" s="2" t="s">
        <v>133</v>
      </c>
      <c r="B90" s="3">
        <v>45925</v>
      </c>
      <c r="C90" s="2" t="s">
        <v>42</v>
      </c>
      <c r="D90" s="2" t="s">
        <v>71</v>
      </c>
      <c r="E90" s="2" t="s">
        <v>11</v>
      </c>
      <c r="F90" s="2" t="s">
        <v>53</v>
      </c>
      <c r="G90" s="2">
        <v>489.88</v>
      </c>
      <c r="H90" s="2">
        <v>28.25</v>
      </c>
    </row>
    <row r="91" spans="1:8" x14ac:dyDescent="0.25">
      <c r="A91" s="2" t="s">
        <v>134</v>
      </c>
      <c r="B91" s="3">
        <v>46008</v>
      </c>
      <c r="C91" s="2" t="s">
        <v>27</v>
      </c>
      <c r="D91" s="2" t="s">
        <v>32</v>
      </c>
      <c r="E91" s="2" t="s">
        <v>15</v>
      </c>
      <c r="F91" s="2" t="s">
        <v>35</v>
      </c>
      <c r="G91" s="2">
        <v>1725.87</v>
      </c>
      <c r="H91" s="2">
        <v>74.03</v>
      </c>
    </row>
    <row r="92" spans="1:8" x14ac:dyDescent="0.25">
      <c r="A92" s="2" t="s">
        <v>135</v>
      </c>
      <c r="B92" s="3">
        <v>45746</v>
      </c>
      <c r="C92" s="2" t="s">
        <v>27</v>
      </c>
      <c r="D92" s="2" t="s">
        <v>28</v>
      </c>
      <c r="E92" s="2" t="s">
        <v>20</v>
      </c>
      <c r="F92" s="2" t="s">
        <v>21</v>
      </c>
      <c r="G92" s="2">
        <v>651.01</v>
      </c>
      <c r="H92" s="2">
        <v>-104.14</v>
      </c>
    </row>
    <row r="93" spans="1:8" x14ac:dyDescent="0.25">
      <c r="A93" s="2" t="s">
        <v>136</v>
      </c>
      <c r="B93" s="3">
        <v>45901</v>
      </c>
      <c r="C93" s="2" t="s">
        <v>9</v>
      </c>
      <c r="D93" s="2" t="s">
        <v>24</v>
      </c>
      <c r="E93" s="2" t="s">
        <v>20</v>
      </c>
      <c r="F93" s="2" t="s">
        <v>25</v>
      </c>
      <c r="G93" s="2">
        <v>492.05</v>
      </c>
      <c r="H93" s="2">
        <v>48.3</v>
      </c>
    </row>
    <row r="94" spans="1:8" x14ac:dyDescent="0.25">
      <c r="A94" s="2" t="s">
        <v>137</v>
      </c>
      <c r="B94" s="3">
        <v>45705</v>
      </c>
      <c r="C94" s="2" t="s">
        <v>9</v>
      </c>
      <c r="D94" s="2" t="s">
        <v>46</v>
      </c>
      <c r="E94" s="2" t="s">
        <v>11</v>
      </c>
      <c r="F94" s="2" t="s">
        <v>53</v>
      </c>
      <c r="G94" s="2">
        <v>1456.76</v>
      </c>
      <c r="H94" s="2">
        <v>259.27999999999997</v>
      </c>
    </row>
    <row r="95" spans="1:8" x14ac:dyDescent="0.25">
      <c r="A95" s="2" t="s">
        <v>138</v>
      </c>
      <c r="B95" s="3">
        <v>45976</v>
      </c>
      <c r="C95" s="2" t="s">
        <v>9</v>
      </c>
      <c r="D95" s="2" t="s">
        <v>10</v>
      </c>
      <c r="E95" s="2" t="s">
        <v>11</v>
      </c>
      <c r="F95" s="2" t="s">
        <v>53</v>
      </c>
      <c r="G95" s="2">
        <v>622.92999999999995</v>
      </c>
      <c r="H95" s="2">
        <v>146.29</v>
      </c>
    </row>
    <row r="96" spans="1:8" x14ac:dyDescent="0.25">
      <c r="A96" s="2" t="s">
        <v>139</v>
      </c>
      <c r="B96" s="3">
        <v>45735</v>
      </c>
      <c r="C96" s="2" t="s">
        <v>9</v>
      </c>
      <c r="D96" s="2" t="s">
        <v>46</v>
      </c>
      <c r="E96" s="2" t="s">
        <v>15</v>
      </c>
      <c r="F96" s="2" t="s">
        <v>57</v>
      </c>
      <c r="G96" s="2">
        <v>1675.68</v>
      </c>
      <c r="H96" s="2">
        <v>510.22</v>
      </c>
    </row>
    <row r="97" spans="1:8" x14ac:dyDescent="0.25">
      <c r="A97" s="2" t="s">
        <v>140</v>
      </c>
      <c r="B97" s="3">
        <v>45852</v>
      </c>
      <c r="C97" s="2" t="s">
        <v>27</v>
      </c>
      <c r="D97" s="2" t="s">
        <v>32</v>
      </c>
      <c r="E97" s="2" t="s">
        <v>20</v>
      </c>
      <c r="F97" s="2" t="s">
        <v>30</v>
      </c>
      <c r="G97" s="2">
        <v>1649.78</v>
      </c>
      <c r="H97" s="2">
        <v>-296.72000000000003</v>
      </c>
    </row>
    <row r="98" spans="1:8" x14ac:dyDescent="0.25">
      <c r="A98" s="2" t="s">
        <v>141</v>
      </c>
      <c r="B98" s="3">
        <v>45926</v>
      </c>
      <c r="C98" s="2" t="s">
        <v>42</v>
      </c>
      <c r="D98" s="2" t="s">
        <v>67</v>
      </c>
      <c r="E98" s="2" t="s">
        <v>11</v>
      </c>
      <c r="F98" s="2" t="s">
        <v>40</v>
      </c>
      <c r="G98" s="2">
        <v>1188.3499999999999</v>
      </c>
      <c r="H98" s="2">
        <v>111.69</v>
      </c>
    </row>
    <row r="99" spans="1:8" x14ac:dyDescent="0.25">
      <c r="A99" s="2" t="s">
        <v>142</v>
      </c>
      <c r="B99" s="3">
        <v>45816</v>
      </c>
      <c r="C99" s="2" t="s">
        <v>18</v>
      </c>
      <c r="D99" s="2" t="s">
        <v>130</v>
      </c>
      <c r="E99" s="2" t="s">
        <v>15</v>
      </c>
      <c r="F99" s="2" t="s">
        <v>57</v>
      </c>
      <c r="G99" s="2">
        <v>419.91</v>
      </c>
      <c r="H99" s="2">
        <v>35.049999999999997</v>
      </c>
    </row>
    <row r="100" spans="1:8" x14ac:dyDescent="0.25">
      <c r="A100" s="2" t="s">
        <v>143</v>
      </c>
      <c r="B100" s="3">
        <v>46003</v>
      </c>
      <c r="C100" s="2" t="s">
        <v>27</v>
      </c>
      <c r="D100" s="2" t="s">
        <v>124</v>
      </c>
      <c r="E100" s="2" t="s">
        <v>15</v>
      </c>
      <c r="F100" s="2" t="s">
        <v>16</v>
      </c>
      <c r="G100" s="2">
        <v>1376.32</v>
      </c>
      <c r="H100" s="2">
        <v>-14.18</v>
      </c>
    </row>
    <row r="101" spans="1:8" x14ac:dyDescent="0.25">
      <c r="A101" s="2" t="s">
        <v>144</v>
      </c>
      <c r="B101" s="3">
        <v>45918</v>
      </c>
      <c r="C101" s="2" t="s">
        <v>42</v>
      </c>
      <c r="D101" s="2" t="s">
        <v>67</v>
      </c>
      <c r="E101" s="2" t="s">
        <v>11</v>
      </c>
      <c r="F101" s="2" t="s">
        <v>12</v>
      </c>
      <c r="G101" s="2">
        <v>1207.8699999999999</v>
      </c>
      <c r="H101" s="2">
        <v>10.88</v>
      </c>
    </row>
    <row r="102" spans="1:8" x14ac:dyDescent="0.25">
      <c r="A102" s="2" t="s">
        <v>145</v>
      </c>
      <c r="B102" s="3">
        <v>45717</v>
      </c>
      <c r="C102" s="2" t="s">
        <v>9</v>
      </c>
      <c r="D102" s="2" t="s">
        <v>14</v>
      </c>
      <c r="E102" s="2" t="s">
        <v>15</v>
      </c>
      <c r="F102" s="2" t="s">
        <v>61</v>
      </c>
      <c r="G102" s="2">
        <v>243.72</v>
      </c>
      <c r="H102" s="2">
        <v>45.37</v>
      </c>
    </row>
    <row r="103" spans="1:8" x14ac:dyDescent="0.25">
      <c r="A103" s="2" t="s">
        <v>146</v>
      </c>
      <c r="B103" s="3">
        <v>45709</v>
      </c>
      <c r="C103" s="2" t="s">
        <v>42</v>
      </c>
      <c r="D103" s="2" t="s">
        <v>55</v>
      </c>
      <c r="E103" s="2" t="s">
        <v>20</v>
      </c>
      <c r="F103" s="2" t="s">
        <v>25</v>
      </c>
      <c r="G103" s="2">
        <v>1759.22</v>
      </c>
      <c r="H103" s="2">
        <v>83.84</v>
      </c>
    </row>
    <row r="104" spans="1:8" x14ac:dyDescent="0.25">
      <c r="A104" s="2" t="s">
        <v>147</v>
      </c>
      <c r="B104" s="3">
        <v>45937</v>
      </c>
      <c r="C104" s="2" t="s">
        <v>27</v>
      </c>
      <c r="D104" s="2" t="s">
        <v>39</v>
      </c>
      <c r="E104" s="2" t="s">
        <v>11</v>
      </c>
      <c r="F104" s="2" t="s">
        <v>12</v>
      </c>
      <c r="G104" s="2">
        <v>783.77</v>
      </c>
      <c r="H104" s="2">
        <v>30.11</v>
      </c>
    </row>
    <row r="105" spans="1:8" x14ac:dyDescent="0.25">
      <c r="A105" s="2" t="s">
        <v>148</v>
      </c>
      <c r="B105" s="3">
        <v>45756</v>
      </c>
      <c r="C105" s="2" t="s">
        <v>27</v>
      </c>
      <c r="D105" s="2" t="s">
        <v>39</v>
      </c>
      <c r="E105" s="2" t="s">
        <v>20</v>
      </c>
      <c r="F105" s="2" t="s">
        <v>21</v>
      </c>
      <c r="G105" s="2">
        <v>1179.97</v>
      </c>
      <c r="H105" s="2">
        <v>28.36</v>
      </c>
    </row>
    <row r="106" spans="1:8" x14ac:dyDescent="0.25">
      <c r="A106" s="2" t="s">
        <v>149</v>
      </c>
      <c r="B106" s="3">
        <v>45838</v>
      </c>
      <c r="C106" s="2" t="s">
        <v>18</v>
      </c>
      <c r="D106" s="2" t="s">
        <v>19</v>
      </c>
      <c r="E106" s="2" t="s">
        <v>11</v>
      </c>
      <c r="F106" s="2" t="s">
        <v>53</v>
      </c>
      <c r="G106" s="2">
        <v>1465.21</v>
      </c>
      <c r="H106" s="2">
        <v>129.80000000000001</v>
      </c>
    </row>
    <row r="107" spans="1:8" x14ac:dyDescent="0.25">
      <c r="A107" s="2" t="s">
        <v>150</v>
      </c>
      <c r="B107" s="3">
        <v>45904</v>
      </c>
      <c r="C107" s="2" t="s">
        <v>27</v>
      </c>
      <c r="D107" s="2" t="s">
        <v>39</v>
      </c>
      <c r="E107" s="2" t="s">
        <v>20</v>
      </c>
      <c r="F107" s="2" t="s">
        <v>25</v>
      </c>
      <c r="G107" s="2">
        <v>1072.68</v>
      </c>
      <c r="H107" s="2">
        <v>212.62</v>
      </c>
    </row>
    <row r="108" spans="1:8" x14ac:dyDescent="0.25">
      <c r="A108" s="2" t="s">
        <v>151</v>
      </c>
      <c r="B108" s="3">
        <v>45805</v>
      </c>
      <c r="C108" s="2" t="s">
        <v>42</v>
      </c>
      <c r="D108" s="2" t="s">
        <v>43</v>
      </c>
      <c r="E108" s="2" t="s">
        <v>20</v>
      </c>
      <c r="F108" s="2" t="s">
        <v>21</v>
      </c>
      <c r="G108" s="2">
        <v>67.61</v>
      </c>
      <c r="H108" s="2">
        <v>16.45</v>
      </c>
    </row>
    <row r="109" spans="1:8" x14ac:dyDescent="0.25">
      <c r="A109" s="2" t="s">
        <v>152</v>
      </c>
      <c r="B109" s="3">
        <v>45720</v>
      </c>
      <c r="C109" s="2" t="s">
        <v>42</v>
      </c>
      <c r="D109" s="2" t="s">
        <v>71</v>
      </c>
      <c r="E109" s="2" t="s">
        <v>15</v>
      </c>
      <c r="F109" s="2" t="s">
        <v>61</v>
      </c>
      <c r="G109" s="2">
        <v>936.52</v>
      </c>
      <c r="H109" s="2">
        <v>-157.81</v>
      </c>
    </row>
    <row r="110" spans="1:8" x14ac:dyDescent="0.25">
      <c r="A110" s="2" t="s">
        <v>153</v>
      </c>
      <c r="B110" s="3">
        <v>45975</v>
      </c>
      <c r="C110" s="2" t="s">
        <v>18</v>
      </c>
      <c r="D110" s="2" t="s">
        <v>60</v>
      </c>
      <c r="E110" s="2" t="s">
        <v>11</v>
      </c>
      <c r="F110" s="2" t="s">
        <v>12</v>
      </c>
      <c r="G110" s="2">
        <v>155.54</v>
      </c>
      <c r="H110" s="2">
        <v>-19.93</v>
      </c>
    </row>
    <row r="111" spans="1:8" x14ac:dyDescent="0.25">
      <c r="A111" s="2" t="s">
        <v>154</v>
      </c>
      <c r="B111" s="3">
        <v>45780</v>
      </c>
      <c r="C111" s="2" t="s">
        <v>27</v>
      </c>
      <c r="D111" s="2" t="s">
        <v>28</v>
      </c>
      <c r="E111" s="2" t="s">
        <v>11</v>
      </c>
      <c r="F111" s="2" t="s">
        <v>12</v>
      </c>
      <c r="G111" s="2">
        <v>79.25</v>
      </c>
      <c r="H111" s="2">
        <v>18.29</v>
      </c>
    </row>
    <row r="112" spans="1:8" x14ac:dyDescent="0.25">
      <c r="A112" s="2" t="s">
        <v>155</v>
      </c>
      <c r="B112" s="3">
        <v>45980</v>
      </c>
      <c r="C112" s="2" t="s">
        <v>27</v>
      </c>
      <c r="D112" s="2" t="s">
        <v>32</v>
      </c>
      <c r="E112" s="2" t="s">
        <v>11</v>
      </c>
      <c r="F112" s="2" t="s">
        <v>12</v>
      </c>
      <c r="G112" s="2">
        <v>147.99</v>
      </c>
      <c r="H112" s="2">
        <v>-21.98</v>
      </c>
    </row>
    <row r="113" spans="1:8" x14ac:dyDescent="0.25">
      <c r="A113" s="2" t="s">
        <v>156</v>
      </c>
      <c r="B113" s="3">
        <v>45993</v>
      </c>
      <c r="C113" s="2" t="s">
        <v>18</v>
      </c>
      <c r="D113" s="2" t="s">
        <v>60</v>
      </c>
      <c r="E113" s="2" t="s">
        <v>15</v>
      </c>
      <c r="F113" s="2" t="s">
        <v>61</v>
      </c>
      <c r="G113" s="2">
        <v>738.39</v>
      </c>
      <c r="H113" s="2">
        <v>-91.28</v>
      </c>
    </row>
    <row r="114" spans="1:8" x14ac:dyDescent="0.25">
      <c r="A114" s="2" t="s">
        <v>157</v>
      </c>
      <c r="B114" s="3">
        <v>45918</v>
      </c>
      <c r="C114" s="2" t="s">
        <v>42</v>
      </c>
      <c r="D114" s="2" t="s">
        <v>43</v>
      </c>
      <c r="E114" s="2" t="s">
        <v>15</v>
      </c>
      <c r="F114" s="2" t="s">
        <v>35</v>
      </c>
      <c r="G114" s="2">
        <v>361.6</v>
      </c>
      <c r="H114" s="2">
        <v>2.54</v>
      </c>
    </row>
    <row r="115" spans="1:8" x14ac:dyDescent="0.25">
      <c r="A115" s="2" t="s">
        <v>158</v>
      </c>
      <c r="B115" s="3">
        <v>45685</v>
      </c>
      <c r="C115" s="2" t="s">
        <v>42</v>
      </c>
      <c r="D115" s="2" t="s">
        <v>55</v>
      </c>
      <c r="E115" s="2" t="s">
        <v>20</v>
      </c>
      <c r="F115" s="2" t="s">
        <v>30</v>
      </c>
      <c r="G115" s="2">
        <v>341.98</v>
      </c>
      <c r="H115" s="2">
        <v>25.17</v>
      </c>
    </row>
    <row r="116" spans="1:8" x14ac:dyDescent="0.25">
      <c r="A116" s="2" t="s">
        <v>159</v>
      </c>
      <c r="B116" s="3">
        <v>45709</v>
      </c>
      <c r="C116" s="2" t="s">
        <v>18</v>
      </c>
      <c r="D116" s="2" t="s">
        <v>19</v>
      </c>
      <c r="E116" s="2" t="s">
        <v>15</v>
      </c>
      <c r="F116" s="2" t="s">
        <v>57</v>
      </c>
      <c r="G116" s="2">
        <v>855.58</v>
      </c>
      <c r="H116" s="2">
        <v>-7.88</v>
      </c>
    </row>
    <row r="117" spans="1:8" x14ac:dyDescent="0.25">
      <c r="A117" s="2" t="s">
        <v>160</v>
      </c>
      <c r="B117" s="3">
        <v>45974</v>
      </c>
      <c r="C117" s="2" t="s">
        <v>42</v>
      </c>
      <c r="D117" s="2" t="s">
        <v>67</v>
      </c>
      <c r="E117" s="2" t="s">
        <v>15</v>
      </c>
      <c r="F117" s="2" t="s">
        <v>61</v>
      </c>
      <c r="G117" s="2">
        <v>1684.35</v>
      </c>
      <c r="H117" s="2">
        <v>412.46</v>
      </c>
    </row>
    <row r="118" spans="1:8" x14ac:dyDescent="0.25">
      <c r="A118" s="2" t="s">
        <v>161</v>
      </c>
      <c r="B118" s="3">
        <v>45818</v>
      </c>
      <c r="C118" s="2" t="s">
        <v>42</v>
      </c>
      <c r="D118" s="2" t="s">
        <v>67</v>
      </c>
      <c r="E118" s="2" t="s">
        <v>15</v>
      </c>
      <c r="F118" s="2" t="s">
        <v>57</v>
      </c>
      <c r="G118" s="2">
        <v>911.64</v>
      </c>
      <c r="H118" s="2">
        <v>59.32</v>
      </c>
    </row>
    <row r="119" spans="1:8" x14ac:dyDescent="0.25">
      <c r="A119" s="2" t="s">
        <v>162</v>
      </c>
      <c r="B119" s="3">
        <v>45683</v>
      </c>
      <c r="C119" s="2" t="s">
        <v>18</v>
      </c>
      <c r="D119" s="2" t="s">
        <v>60</v>
      </c>
      <c r="E119" s="2" t="s">
        <v>15</v>
      </c>
      <c r="F119" s="2" t="s">
        <v>16</v>
      </c>
      <c r="G119" s="2">
        <v>1645.96</v>
      </c>
      <c r="H119" s="2">
        <v>205.16</v>
      </c>
    </row>
    <row r="120" spans="1:8" x14ac:dyDescent="0.25">
      <c r="A120" s="2" t="s">
        <v>163</v>
      </c>
      <c r="B120" s="3">
        <v>45806</v>
      </c>
      <c r="C120" s="2" t="s">
        <v>27</v>
      </c>
      <c r="D120" s="2" t="s">
        <v>124</v>
      </c>
      <c r="E120" s="2" t="s">
        <v>20</v>
      </c>
      <c r="F120" s="2" t="s">
        <v>30</v>
      </c>
      <c r="G120" s="2">
        <v>153.37</v>
      </c>
      <c r="H120" s="2">
        <v>14.65</v>
      </c>
    </row>
    <row r="121" spans="1:8" x14ac:dyDescent="0.25">
      <c r="A121" s="2" t="s">
        <v>164</v>
      </c>
      <c r="B121" s="3">
        <v>45678</v>
      </c>
      <c r="C121" s="2" t="s">
        <v>18</v>
      </c>
      <c r="D121" s="2" t="s">
        <v>130</v>
      </c>
      <c r="E121" s="2" t="s">
        <v>11</v>
      </c>
      <c r="F121" s="2" t="s">
        <v>40</v>
      </c>
      <c r="G121" s="2">
        <v>1136.19</v>
      </c>
      <c r="H121" s="2">
        <v>-6.46</v>
      </c>
    </row>
    <row r="122" spans="1:8" x14ac:dyDescent="0.25">
      <c r="A122" s="2" t="s">
        <v>165</v>
      </c>
      <c r="B122" s="3">
        <v>45704</v>
      </c>
      <c r="C122" s="2" t="s">
        <v>9</v>
      </c>
      <c r="D122" s="2" t="s">
        <v>10</v>
      </c>
      <c r="E122" s="2" t="s">
        <v>11</v>
      </c>
      <c r="F122" s="2" t="s">
        <v>53</v>
      </c>
      <c r="G122" s="2">
        <v>1722.94</v>
      </c>
      <c r="H122" s="2">
        <v>356.42</v>
      </c>
    </row>
    <row r="123" spans="1:8" x14ac:dyDescent="0.25">
      <c r="A123" s="2" t="s">
        <v>166</v>
      </c>
      <c r="B123" s="3">
        <v>45777</v>
      </c>
      <c r="C123" s="2" t="s">
        <v>27</v>
      </c>
      <c r="D123" s="2" t="s">
        <v>90</v>
      </c>
      <c r="E123" s="2" t="s">
        <v>11</v>
      </c>
      <c r="F123" s="2" t="s">
        <v>40</v>
      </c>
      <c r="G123" s="2">
        <v>721.17</v>
      </c>
      <c r="H123" s="2">
        <v>-36.86</v>
      </c>
    </row>
    <row r="124" spans="1:8" x14ac:dyDescent="0.25">
      <c r="A124" s="2" t="s">
        <v>167</v>
      </c>
      <c r="B124" s="3">
        <v>45678</v>
      </c>
      <c r="C124" s="2" t="s">
        <v>27</v>
      </c>
      <c r="D124" s="2" t="s">
        <v>124</v>
      </c>
      <c r="E124" s="2" t="s">
        <v>15</v>
      </c>
      <c r="F124" s="2" t="s">
        <v>61</v>
      </c>
      <c r="G124" s="2">
        <v>1771.86</v>
      </c>
      <c r="H124" s="2">
        <v>548.52</v>
      </c>
    </row>
    <row r="125" spans="1:8" x14ac:dyDescent="0.25">
      <c r="A125" s="2" t="s">
        <v>168</v>
      </c>
      <c r="B125" s="3">
        <v>45905</v>
      </c>
      <c r="C125" s="2" t="s">
        <v>18</v>
      </c>
      <c r="D125" s="2" t="s">
        <v>130</v>
      </c>
      <c r="E125" s="2" t="s">
        <v>20</v>
      </c>
      <c r="F125" s="2" t="s">
        <v>21</v>
      </c>
      <c r="G125" s="2">
        <v>259.72000000000003</v>
      </c>
      <c r="H125" s="2">
        <v>-42.67</v>
      </c>
    </row>
    <row r="126" spans="1:8" x14ac:dyDescent="0.25">
      <c r="A126" s="2" t="s">
        <v>169</v>
      </c>
      <c r="B126" s="3">
        <v>45927</v>
      </c>
      <c r="C126" s="2" t="s">
        <v>42</v>
      </c>
      <c r="D126" s="2" t="s">
        <v>67</v>
      </c>
      <c r="E126" s="2" t="s">
        <v>20</v>
      </c>
      <c r="F126" s="2" t="s">
        <v>25</v>
      </c>
      <c r="G126" s="2">
        <v>760.66</v>
      </c>
      <c r="H126" s="2">
        <v>207.37</v>
      </c>
    </row>
    <row r="127" spans="1:8" x14ac:dyDescent="0.25">
      <c r="A127" s="2" t="s">
        <v>170</v>
      </c>
      <c r="B127" s="3">
        <v>45914</v>
      </c>
      <c r="C127" s="2" t="s">
        <v>18</v>
      </c>
      <c r="D127" s="2" t="s">
        <v>37</v>
      </c>
      <c r="E127" s="2" t="s">
        <v>15</v>
      </c>
      <c r="F127" s="2" t="s">
        <v>61</v>
      </c>
      <c r="G127" s="2">
        <v>1232.4100000000001</v>
      </c>
      <c r="H127" s="2">
        <v>365.08</v>
      </c>
    </row>
    <row r="128" spans="1:8" x14ac:dyDescent="0.25">
      <c r="A128" s="2" t="s">
        <v>171</v>
      </c>
      <c r="B128" s="3">
        <v>45705</v>
      </c>
      <c r="C128" s="2" t="s">
        <v>9</v>
      </c>
      <c r="D128" s="2" t="s">
        <v>10</v>
      </c>
      <c r="E128" s="2" t="s">
        <v>15</v>
      </c>
      <c r="F128" s="2" t="s">
        <v>57</v>
      </c>
      <c r="G128" s="2">
        <v>40.6</v>
      </c>
      <c r="H128" s="2">
        <v>8.17</v>
      </c>
    </row>
    <row r="129" spans="1:8" x14ac:dyDescent="0.25">
      <c r="A129" s="2" t="s">
        <v>172</v>
      </c>
      <c r="B129" s="3">
        <v>45988</v>
      </c>
      <c r="C129" s="2" t="s">
        <v>9</v>
      </c>
      <c r="D129" s="2" t="s">
        <v>46</v>
      </c>
      <c r="E129" s="2" t="s">
        <v>11</v>
      </c>
      <c r="F129" s="2" t="s">
        <v>12</v>
      </c>
      <c r="G129" s="2">
        <v>882.36</v>
      </c>
      <c r="H129" s="2">
        <v>107.83</v>
      </c>
    </row>
    <row r="130" spans="1:8" x14ac:dyDescent="0.25">
      <c r="A130" s="2" t="s">
        <v>173</v>
      </c>
      <c r="B130" s="3">
        <v>45845</v>
      </c>
      <c r="C130" s="2" t="s">
        <v>18</v>
      </c>
      <c r="D130" s="2" t="s">
        <v>37</v>
      </c>
      <c r="E130" s="2" t="s">
        <v>20</v>
      </c>
      <c r="F130" s="2" t="s">
        <v>25</v>
      </c>
      <c r="G130" s="2">
        <v>476.75</v>
      </c>
      <c r="H130" s="2">
        <v>48.8</v>
      </c>
    </row>
    <row r="131" spans="1:8" x14ac:dyDescent="0.25">
      <c r="A131" s="2" t="s">
        <v>174</v>
      </c>
      <c r="B131" s="3">
        <v>45835</v>
      </c>
      <c r="C131" s="2" t="s">
        <v>18</v>
      </c>
      <c r="D131" s="2" t="s">
        <v>19</v>
      </c>
      <c r="E131" s="2" t="s">
        <v>15</v>
      </c>
      <c r="F131" s="2" t="s">
        <v>61</v>
      </c>
      <c r="G131" s="2">
        <v>304.95999999999998</v>
      </c>
      <c r="H131" s="2">
        <v>68.81</v>
      </c>
    </row>
    <row r="132" spans="1:8" x14ac:dyDescent="0.25">
      <c r="A132" s="2" t="s">
        <v>175</v>
      </c>
      <c r="B132" s="3">
        <v>45931</v>
      </c>
      <c r="C132" s="2" t="s">
        <v>27</v>
      </c>
      <c r="D132" s="2" t="s">
        <v>90</v>
      </c>
      <c r="E132" s="2" t="s">
        <v>20</v>
      </c>
      <c r="F132" s="2" t="s">
        <v>21</v>
      </c>
      <c r="G132" s="2">
        <v>1112.3</v>
      </c>
      <c r="H132" s="2">
        <v>140.65</v>
      </c>
    </row>
    <row r="133" spans="1:8" x14ac:dyDescent="0.25">
      <c r="A133" s="2" t="s">
        <v>176</v>
      </c>
      <c r="B133" s="3">
        <v>45848</v>
      </c>
      <c r="C133" s="2" t="s">
        <v>42</v>
      </c>
      <c r="D133" s="2" t="s">
        <v>55</v>
      </c>
      <c r="E133" s="2" t="s">
        <v>20</v>
      </c>
      <c r="F133" s="2" t="s">
        <v>21</v>
      </c>
      <c r="G133" s="2">
        <v>799.75</v>
      </c>
      <c r="H133" s="2">
        <v>40.57</v>
      </c>
    </row>
    <row r="134" spans="1:8" x14ac:dyDescent="0.25">
      <c r="A134" s="2" t="s">
        <v>177</v>
      </c>
      <c r="B134" s="3">
        <v>45918</v>
      </c>
      <c r="C134" s="2" t="s">
        <v>42</v>
      </c>
      <c r="D134" s="2" t="s">
        <v>55</v>
      </c>
      <c r="E134" s="2" t="s">
        <v>20</v>
      </c>
      <c r="F134" s="2" t="s">
        <v>25</v>
      </c>
      <c r="G134" s="2">
        <v>1579.45</v>
      </c>
      <c r="H134" s="2">
        <v>191.43</v>
      </c>
    </row>
    <row r="135" spans="1:8" x14ac:dyDescent="0.25">
      <c r="A135" s="2" t="s">
        <v>178</v>
      </c>
      <c r="B135" s="3">
        <v>45861</v>
      </c>
      <c r="C135" s="2" t="s">
        <v>18</v>
      </c>
      <c r="D135" s="2" t="s">
        <v>19</v>
      </c>
      <c r="E135" s="2" t="s">
        <v>15</v>
      </c>
      <c r="F135" s="2" t="s">
        <v>35</v>
      </c>
      <c r="G135" s="2">
        <v>208.36</v>
      </c>
      <c r="H135" s="2">
        <v>-2.64</v>
      </c>
    </row>
    <row r="136" spans="1:8" x14ac:dyDescent="0.25">
      <c r="A136" s="2" t="s">
        <v>179</v>
      </c>
      <c r="B136" s="3">
        <v>45671</v>
      </c>
      <c r="C136" s="2" t="s">
        <v>18</v>
      </c>
      <c r="D136" s="2" t="s">
        <v>130</v>
      </c>
      <c r="E136" s="2" t="s">
        <v>11</v>
      </c>
      <c r="F136" s="2" t="s">
        <v>12</v>
      </c>
      <c r="G136" s="2">
        <v>1003.49</v>
      </c>
      <c r="H136" s="2">
        <v>53.8</v>
      </c>
    </row>
    <row r="137" spans="1:8" x14ac:dyDescent="0.25">
      <c r="A137" s="2" t="s">
        <v>180</v>
      </c>
      <c r="B137" s="3">
        <v>45877</v>
      </c>
      <c r="C137" s="2" t="s">
        <v>18</v>
      </c>
      <c r="D137" s="2" t="s">
        <v>98</v>
      </c>
      <c r="E137" s="2" t="s">
        <v>11</v>
      </c>
      <c r="F137" s="2" t="s">
        <v>12</v>
      </c>
      <c r="G137" s="2">
        <v>1228.29</v>
      </c>
      <c r="H137" s="2">
        <v>91.66</v>
      </c>
    </row>
    <row r="138" spans="1:8" x14ac:dyDescent="0.25">
      <c r="A138" s="2" t="s">
        <v>181</v>
      </c>
      <c r="B138" s="3">
        <v>45723</v>
      </c>
      <c r="C138" s="2" t="s">
        <v>27</v>
      </c>
      <c r="D138" s="2" t="s">
        <v>124</v>
      </c>
      <c r="E138" s="2" t="s">
        <v>20</v>
      </c>
      <c r="F138" s="2" t="s">
        <v>21</v>
      </c>
      <c r="G138" s="2">
        <v>394.01</v>
      </c>
      <c r="H138" s="2">
        <v>41.35</v>
      </c>
    </row>
    <row r="139" spans="1:8" x14ac:dyDescent="0.25">
      <c r="A139" s="2" t="s">
        <v>182</v>
      </c>
      <c r="B139" s="3">
        <v>46014</v>
      </c>
      <c r="C139" s="2" t="s">
        <v>9</v>
      </c>
      <c r="D139" s="2" t="s">
        <v>24</v>
      </c>
      <c r="E139" s="2" t="s">
        <v>11</v>
      </c>
      <c r="F139" s="2" t="s">
        <v>40</v>
      </c>
      <c r="G139" s="2">
        <v>171.17</v>
      </c>
      <c r="H139" s="2">
        <v>42.77</v>
      </c>
    </row>
    <row r="140" spans="1:8" x14ac:dyDescent="0.25">
      <c r="A140" s="2" t="s">
        <v>183</v>
      </c>
      <c r="B140" s="3">
        <v>45842</v>
      </c>
      <c r="C140" s="2" t="s">
        <v>27</v>
      </c>
      <c r="D140" s="2" t="s">
        <v>28</v>
      </c>
      <c r="E140" s="2" t="s">
        <v>11</v>
      </c>
      <c r="F140" s="2" t="s">
        <v>12</v>
      </c>
      <c r="G140" s="2">
        <v>1323.98</v>
      </c>
      <c r="H140" s="2">
        <v>165.99</v>
      </c>
    </row>
    <row r="141" spans="1:8" x14ac:dyDescent="0.25">
      <c r="A141" s="2" t="s">
        <v>184</v>
      </c>
      <c r="B141" s="3">
        <v>45973</v>
      </c>
      <c r="C141" s="2" t="s">
        <v>27</v>
      </c>
      <c r="D141" s="2" t="s">
        <v>28</v>
      </c>
      <c r="E141" s="2" t="s">
        <v>11</v>
      </c>
      <c r="F141" s="2" t="s">
        <v>40</v>
      </c>
      <c r="G141" s="2">
        <v>1045.19</v>
      </c>
      <c r="H141" s="2">
        <v>67.25</v>
      </c>
    </row>
    <row r="142" spans="1:8" x14ac:dyDescent="0.25">
      <c r="A142" s="2" t="s">
        <v>185</v>
      </c>
      <c r="B142" s="3">
        <v>45727</v>
      </c>
      <c r="C142" s="2" t="s">
        <v>9</v>
      </c>
      <c r="D142" s="2" t="s">
        <v>24</v>
      </c>
      <c r="E142" s="2" t="s">
        <v>20</v>
      </c>
      <c r="F142" s="2" t="s">
        <v>30</v>
      </c>
      <c r="G142" s="2">
        <v>331.91</v>
      </c>
      <c r="H142" s="2">
        <v>-14.53</v>
      </c>
    </row>
    <row r="143" spans="1:8" x14ac:dyDescent="0.25">
      <c r="A143" s="2" t="s">
        <v>186</v>
      </c>
      <c r="B143" s="3">
        <v>45822</v>
      </c>
      <c r="C143" s="2" t="s">
        <v>42</v>
      </c>
      <c r="D143" s="2" t="s">
        <v>50</v>
      </c>
      <c r="E143" s="2" t="s">
        <v>11</v>
      </c>
      <c r="F143" s="2" t="s">
        <v>53</v>
      </c>
      <c r="G143" s="2">
        <v>1747.92</v>
      </c>
      <c r="H143" s="2">
        <v>244.91</v>
      </c>
    </row>
    <row r="144" spans="1:8" x14ac:dyDescent="0.25">
      <c r="A144" s="2" t="s">
        <v>187</v>
      </c>
      <c r="B144" s="3">
        <v>45934</v>
      </c>
      <c r="C144" s="2" t="s">
        <v>42</v>
      </c>
      <c r="D144" s="2" t="s">
        <v>55</v>
      </c>
      <c r="E144" s="2" t="s">
        <v>20</v>
      </c>
      <c r="F144" s="2" t="s">
        <v>25</v>
      </c>
      <c r="G144" s="2">
        <v>1583.69</v>
      </c>
      <c r="H144" s="2">
        <v>243.11</v>
      </c>
    </row>
    <row r="145" spans="1:8" x14ac:dyDescent="0.25">
      <c r="A145" s="2" t="s">
        <v>188</v>
      </c>
      <c r="B145" s="3">
        <v>45968</v>
      </c>
      <c r="C145" s="2" t="s">
        <v>9</v>
      </c>
      <c r="D145" s="2" t="s">
        <v>10</v>
      </c>
      <c r="E145" s="2" t="s">
        <v>20</v>
      </c>
      <c r="F145" s="2" t="s">
        <v>25</v>
      </c>
      <c r="G145" s="2">
        <v>563.32000000000005</v>
      </c>
      <c r="H145" s="2">
        <v>112.97</v>
      </c>
    </row>
    <row r="146" spans="1:8" x14ac:dyDescent="0.25">
      <c r="A146" s="2" t="s">
        <v>189</v>
      </c>
      <c r="B146" s="3">
        <v>45966</v>
      </c>
      <c r="C146" s="2" t="s">
        <v>18</v>
      </c>
      <c r="D146" s="2" t="s">
        <v>130</v>
      </c>
      <c r="E146" s="2" t="s">
        <v>15</v>
      </c>
      <c r="F146" s="2" t="s">
        <v>35</v>
      </c>
      <c r="G146" s="2">
        <v>1107.44</v>
      </c>
      <c r="H146" s="2">
        <v>-1.64</v>
      </c>
    </row>
    <row r="147" spans="1:8" x14ac:dyDescent="0.25">
      <c r="A147" s="2" t="s">
        <v>190</v>
      </c>
      <c r="B147" s="3">
        <v>45895</v>
      </c>
      <c r="C147" s="2" t="s">
        <v>27</v>
      </c>
      <c r="D147" s="2" t="s">
        <v>32</v>
      </c>
      <c r="E147" s="2" t="s">
        <v>11</v>
      </c>
      <c r="F147" s="2" t="s">
        <v>12</v>
      </c>
      <c r="G147" s="2">
        <v>598.85</v>
      </c>
      <c r="H147" s="2">
        <v>128.31</v>
      </c>
    </row>
    <row r="148" spans="1:8" x14ac:dyDescent="0.25">
      <c r="A148" s="2" t="s">
        <v>191</v>
      </c>
      <c r="B148" s="3">
        <v>45676</v>
      </c>
      <c r="C148" s="2" t="s">
        <v>42</v>
      </c>
      <c r="D148" s="2" t="s">
        <v>67</v>
      </c>
      <c r="E148" s="2" t="s">
        <v>11</v>
      </c>
      <c r="F148" s="2" t="s">
        <v>53</v>
      </c>
      <c r="G148" s="2">
        <v>867.12</v>
      </c>
      <c r="H148" s="2">
        <v>-16.07</v>
      </c>
    </row>
    <row r="149" spans="1:8" x14ac:dyDescent="0.25">
      <c r="A149" s="2" t="s">
        <v>192</v>
      </c>
      <c r="B149" s="3">
        <v>45735</v>
      </c>
      <c r="C149" s="2" t="s">
        <v>27</v>
      </c>
      <c r="D149" s="2" t="s">
        <v>124</v>
      </c>
      <c r="E149" s="2" t="s">
        <v>20</v>
      </c>
      <c r="F149" s="2" t="s">
        <v>25</v>
      </c>
      <c r="G149" s="2">
        <v>213.3</v>
      </c>
      <c r="H149" s="2">
        <v>-31.43</v>
      </c>
    </row>
    <row r="150" spans="1:8" x14ac:dyDescent="0.25">
      <c r="A150" s="2" t="s">
        <v>193</v>
      </c>
      <c r="B150" s="3">
        <v>45774</v>
      </c>
      <c r="C150" s="2" t="s">
        <v>9</v>
      </c>
      <c r="D150" s="2" t="s">
        <v>34</v>
      </c>
      <c r="E150" s="2" t="s">
        <v>11</v>
      </c>
      <c r="F150" s="2" t="s">
        <v>12</v>
      </c>
      <c r="G150" s="2">
        <v>1110.6099999999999</v>
      </c>
      <c r="H150" s="2">
        <v>16.48</v>
      </c>
    </row>
    <row r="151" spans="1:8" x14ac:dyDescent="0.25">
      <c r="A151" s="2" t="s">
        <v>194</v>
      </c>
      <c r="B151" s="3">
        <v>45881</v>
      </c>
      <c r="C151" s="2" t="s">
        <v>18</v>
      </c>
      <c r="D151" s="2" t="s">
        <v>60</v>
      </c>
      <c r="E151" s="2" t="s">
        <v>20</v>
      </c>
      <c r="F151" s="2" t="s">
        <v>21</v>
      </c>
      <c r="G151" s="2">
        <v>1237.6400000000001</v>
      </c>
      <c r="H151" s="2">
        <v>228.3</v>
      </c>
    </row>
    <row r="152" spans="1:8" x14ac:dyDescent="0.25">
      <c r="A152" s="2" t="s">
        <v>195</v>
      </c>
      <c r="B152" s="3">
        <v>45670</v>
      </c>
      <c r="C152" s="2" t="s">
        <v>18</v>
      </c>
      <c r="D152" s="2" t="s">
        <v>37</v>
      </c>
      <c r="E152" s="2" t="s">
        <v>20</v>
      </c>
      <c r="F152" s="2" t="s">
        <v>30</v>
      </c>
      <c r="G152" s="2">
        <v>503.21</v>
      </c>
      <c r="H152" s="2">
        <v>123.14</v>
      </c>
    </row>
    <row r="153" spans="1:8" x14ac:dyDescent="0.25">
      <c r="A153" s="2" t="s">
        <v>196</v>
      </c>
      <c r="B153" s="3">
        <v>46010</v>
      </c>
      <c r="C153" s="2" t="s">
        <v>9</v>
      </c>
      <c r="D153" s="2" t="s">
        <v>10</v>
      </c>
      <c r="E153" s="2" t="s">
        <v>11</v>
      </c>
      <c r="F153" s="2" t="s">
        <v>40</v>
      </c>
      <c r="G153" s="2">
        <v>1472.84</v>
      </c>
      <c r="H153" s="2">
        <v>443.54</v>
      </c>
    </row>
    <row r="154" spans="1:8" x14ac:dyDescent="0.25">
      <c r="A154" s="2" t="s">
        <v>197</v>
      </c>
      <c r="B154" s="3">
        <v>45895</v>
      </c>
      <c r="C154" s="2" t="s">
        <v>18</v>
      </c>
      <c r="D154" s="2" t="s">
        <v>60</v>
      </c>
      <c r="E154" s="2" t="s">
        <v>20</v>
      </c>
      <c r="F154" s="2" t="s">
        <v>25</v>
      </c>
      <c r="G154" s="2">
        <v>632.07000000000005</v>
      </c>
      <c r="H154" s="2">
        <v>-36.380000000000003</v>
      </c>
    </row>
    <row r="155" spans="1:8" x14ac:dyDescent="0.25">
      <c r="A155" s="2" t="s">
        <v>198</v>
      </c>
      <c r="B155" s="3">
        <v>45939</v>
      </c>
      <c r="C155" s="2" t="s">
        <v>27</v>
      </c>
      <c r="D155" s="2" t="s">
        <v>28</v>
      </c>
      <c r="E155" s="2" t="s">
        <v>15</v>
      </c>
      <c r="F155" s="2" t="s">
        <v>16</v>
      </c>
      <c r="G155" s="2">
        <v>358.59</v>
      </c>
      <c r="H155" s="2">
        <v>-6.07</v>
      </c>
    </row>
    <row r="156" spans="1:8" x14ac:dyDescent="0.25">
      <c r="A156" s="2" t="s">
        <v>199</v>
      </c>
      <c r="B156" s="3">
        <v>45930</v>
      </c>
      <c r="C156" s="2" t="s">
        <v>9</v>
      </c>
      <c r="D156" s="2" t="s">
        <v>10</v>
      </c>
      <c r="E156" s="2" t="s">
        <v>15</v>
      </c>
      <c r="F156" s="2" t="s">
        <v>57</v>
      </c>
      <c r="G156" s="2">
        <v>82.47</v>
      </c>
      <c r="H156" s="2">
        <v>15.62</v>
      </c>
    </row>
    <row r="157" spans="1:8" x14ac:dyDescent="0.25">
      <c r="A157" s="2" t="s">
        <v>200</v>
      </c>
      <c r="B157" s="3">
        <v>45714</v>
      </c>
      <c r="C157" s="2" t="s">
        <v>27</v>
      </c>
      <c r="D157" s="2" t="s">
        <v>124</v>
      </c>
      <c r="E157" s="2" t="s">
        <v>15</v>
      </c>
      <c r="F157" s="2" t="s">
        <v>61</v>
      </c>
      <c r="G157" s="2">
        <v>1468.52</v>
      </c>
      <c r="H157" s="2">
        <v>-242.07</v>
      </c>
    </row>
    <row r="158" spans="1:8" x14ac:dyDescent="0.25">
      <c r="A158" s="2" t="s">
        <v>201</v>
      </c>
      <c r="B158" s="3">
        <v>45675</v>
      </c>
      <c r="C158" s="2" t="s">
        <v>42</v>
      </c>
      <c r="D158" s="2" t="s">
        <v>50</v>
      </c>
      <c r="E158" s="2" t="s">
        <v>11</v>
      </c>
      <c r="F158" s="2" t="s">
        <v>53</v>
      </c>
      <c r="G158" s="2">
        <v>185.35</v>
      </c>
      <c r="H158" s="2">
        <v>4.83</v>
      </c>
    </row>
    <row r="159" spans="1:8" x14ac:dyDescent="0.25">
      <c r="A159" s="2" t="s">
        <v>202</v>
      </c>
      <c r="B159" s="3">
        <v>45658</v>
      </c>
      <c r="C159" s="2" t="s">
        <v>18</v>
      </c>
      <c r="D159" s="2" t="s">
        <v>130</v>
      </c>
      <c r="E159" s="2" t="s">
        <v>15</v>
      </c>
      <c r="F159" s="2" t="s">
        <v>61</v>
      </c>
      <c r="G159" s="2">
        <v>1518.82</v>
      </c>
      <c r="H159" s="2">
        <v>-56.82</v>
      </c>
    </row>
    <row r="160" spans="1:8" x14ac:dyDescent="0.25">
      <c r="A160" s="2" t="s">
        <v>203</v>
      </c>
      <c r="B160" s="3">
        <v>45741</v>
      </c>
      <c r="C160" s="2" t="s">
        <v>42</v>
      </c>
      <c r="D160" s="2" t="s">
        <v>50</v>
      </c>
      <c r="E160" s="2" t="s">
        <v>11</v>
      </c>
      <c r="F160" s="2" t="s">
        <v>40</v>
      </c>
      <c r="G160" s="2">
        <v>239.98</v>
      </c>
      <c r="H160" s="2">
        <v>45.8</v>
      </c>
    </row>
    <row r="161" spans="1:8" x14ac:dyDescent="0.25">
      <c r="A161" s="2" t="s">
        <v>204</v>
      </c>
      <c r="B161" s="3">
        <v>45837</v>
      </c>
      <c r="C161" s="2" t="s">
        <v>27</v>
      </c>
      <c r="D161" s="2" t="s">
        <v>32</v>
      </c>
      <c r="E161" s="2" t="s">
        <v>11</v>
      </c>
      <c r="F161" s="2" t="s">
        <v>12</v>
      </c>
      <c r="G161" s="2">
        <v>370</v>
      </c>
      <c r="H161" s="2">
        <v>25.76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Summary</vt:lpstr>
      <vt:lpstr>Region Chart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2026-10-18T03:41:44Z</dcterms:created>
  <dcterms:modified xsi:type="dcterms:W3CDTF">2026-10-18T03:42:13Z</dcterms:modified>
</cp:coreProperties>
</file>