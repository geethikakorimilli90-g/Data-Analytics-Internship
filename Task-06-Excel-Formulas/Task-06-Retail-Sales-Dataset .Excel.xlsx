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ETHIKA\Downloads\"/>
    </mc:Choice>
  </mc:AlternateContent>
  <xr:revisionPtr revIDLastSave="0" documentId="8_{7B7B35A3-4DB2-4FB0-B291-9091A8B1E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Formula_Practice" sheetId="5" r:id="rId2"/>
    <sheet name="Product_Master" sheetId="2" r:id="rId3"/>
    <sheet name="Edge_Cases" sheetId="3" r:id="rId4"/>
    <sheet name="Notes" sheetId="4" r:id="rId5"/>
  </sheets>
  <definedNames>
    <definedName name="_xlnm._FilterDatabase" localSheetId="3" hidden="1">Edge_Cases!$A$1:$H$4</definedName>
    <definedName name="_xlnm._FilterDatabase" localSheetId="4" hidden="1">Notes!$A$1:$C$11</definedName>
    <definedName name="_xlnm._FilterDatabase" localSheetId="2" hidden="1">Product_Master!$A$1:$D$11</definedName>
    <definedName name="_xlnm._FilterDatabase" localSheetId="0" hidden="1">Transactions!$A$1:$G$31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J12" i="1"/>
  <c r="J13" i="1"/>
  <c r="J14" i="1"/>
  <c r="J15" i="1"/>
  <c r="J16" i="1"/>
  <c r="J17" i="1"/>
  <c r="J18" i="1"/>
  <c r="J19" i="1"/>
  <c r="J20" i="1"/>
  <c r="J1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I2" i="1"/>
  <c r="F2" i="3"/>
  <c r="C10" i="5"/>
  <c r="C9" i="5"/>
  <c r="C8" i="5"/>
  <c r="C7" i="5"/>
  <c r="C3" i="5"/>
  <c r="C2" i="5"/>
  <c r="H2" i="1"/>
  <c r="C6" i="5" l="1"/>
  <c r="C4" i="5"/>
  <c r="C5" i="5"/>
</calcChain>
</file>

<file path=xl/sharedStrings.xml><?xml version="1.0" encoding="utf-8"?>
<sst xmlns="http://schemas.openxmlformats.org/spreadsheetml/2006/main" count="270" uniqueCount="186">
  <si>
    <t>Order_ID</t>
  </si>
  <si>
    <t>Date</t>
  </si>
  <si>
    <t>Product_ID</t>
  </si>
  <si>
    <t>Customer</t>
  </si>
  <si>
    <t>Region</t>
  </si>
  <si>
    <t>Quantity</t>
  </si>
  <si>
    <t>Sales</t>
  </si>
  <si>
    <t>ORD001</t>
  </si>
  <si>
    <t>2026-09-01</t>
  </si>
  <si>
    <t>P101</t>
  </si>
  <si>
    <t>Ravi</t>
  </si>
  <si>
    <t>South</t>
  </si>
  <si>
    <t>ORD002</t>
  </si>
  <si>
    <t>2026-09-02</t>
  </si>
  <si>
    <t>P104</t>
  </si>
  <si>
    <t>Priya</t>
  </si>
  <si>
    <t>ORD003</t>
  </si>
  <si>
    <t>2026-09-03</t>
  </si>
  <si>
    <t>P106</t>
  </si>
  <si>
    <t>Arjun</t>
  </si>
  <si>
    <t>North</t>
  </si>
  <si>
    <t>ORD004</t>
  </si>
  <si>
    <t>2026-09-04</t>
  </si>
  <si>
    <t>P102</t>
  </si>
  <si>
    <t>Sneha</t>
  </si>
  <si>
    <t>East</t>
  </si>
  <si>
    <t>ORD005</t>
  </si>
  <si>
    <t>2026-09-05</t>
  </si>
  <si>
    <t>P109</t>
  </si>
  <si>
    <t>Kiran</t>
  </si>
  <si>
    <t>West</t>
  </si>
  <si>
    <t>ORD006</t>
  </si>
  <si>
    <t>2026-09-06</t>
  </si>
  <si>
    <t>P103</t>
  </si>
  <si>
    <t>Anu</t>
  </si>
  <si>
    <t>ORD007</t>
  </si>
  <si>
    <t>2026-09-07</t>
  </si>
  <si>
    <t>P105</t>
  </si>
  <si>
    <t>Rahul</t>
  </si>
  <si>
    <t>ORD008</t>
  </si>
  <si>
    <t>2026-09-08</t>
  </si>
  <si>
    <t>P107</t>
  </si>
  <si>
    <t>Divya</t>
  </si>
  <si>
    <t>ORD009</t>
  </si>
  <si>
    <t>2026-09-09</t>
  </si>
  <si>
    <t>P108</t>
  </si>
  <si>
    <t>Vikram</t>
  </si>
  <si>
    <t>ORD010</t>
  </si>
  <si>
    <t>2026-09-10</t>
  </si>
  <si>
    <t>P110</t>
  </si>
  <si>
    <t>Meena</t>
  </si>
  <si>
    <t>ORD011</t>
  </si>
  <si>
    <t>2026-09-11</t>
  </si>
  <si>
    <t>Suresh</t>
  </si>
  <si>
    <t>ORD012</t>
  </si>
  <si>
    <t>2026-09-12</t>
  </si>
  <si>
    <t>Lakshmi</t>
  </si>
  <si>
    <t>ORD013</t>
  </si>
  <si>
    <t>2026-09-13</t>
  </si>
  <si>
    <t>Harish</t>
  </si>
  <si>
    <t>ORD014</t>
  </si>
  <si>
    <t>2026-09-14</t>
  </si>
  <si>
    <t>Pooja</t>
  </si>
  <si>
    <t>ORD015</t>
  </si>
  <si>
    <t>2026-09-15</t>
  </si>
  <si>
    <t>Naveen</t>
  </si>
  <si>
    <t>ORD016</t>
  </si>
  <si>
    <t>2026-09-16</t>
  </si>
  <si>
    <t>Swathi</t>
  </si>
  <si>
    <t>ORD017</t>
  </si>
  <si>
    <t>2026-09-17</t>
  </si>
  <si>
    <t>Karthik</t>
  </si>
  <si>
    <t>ORD018</t>
  </si>
  <si>
    <t>2026-09-18</t>
  </si>
  <si>
    <t>Asha</t>
  </si>
  <si>
    <t>ORD019</t>
  </si>
  <si>
    <t>2026-09-19</t>
  </si>
  <si>
    <t>Manoj</t>
  </si>
  <si>
    <t>ORD020</t>
  </si>
  <si>
    <t>2026-09-20</t>
  </si>
  <si>
    <t>Geetha</t>
  </si>
  <si>
    <t>ORD021</t>
  </si>
  <si>
    <t>2026-09-21</t>
  </si>
  <si>
    <t>Ramesh</t>
  </si>
  <si>
    <t>ORD022</t>
  </si>
  <si>
    <t>2026-09-22</t>
  </si>
  <si>
    <t>Keerthi</t>
  </si>
  <si>
    <t>ORD023</t>
  </si>
  <si>
    <t>2026-09-23</t>
  </si>
  <si>
    <t>Ajay</t>
  </si>
  <si>
    <t>ORD024</t>
  </si>
  <si>
    <t>2026-09-24</t>
  </si>
  <si>
    <t>Bhavya</t>
  </si>
  <si>
    <t>ORD025</t>
  </si>
  <si>
    <t>2026-09-25</t>
  </si>
  <si>
    <t>Mohan</t>
  </si>
  <si>
    <t>ORD026</t>
  </si>
  <si>
    <t>2026-09-26</t>
  </si>
  <si>
    <t>Teja</t>
  </si>
  <si>
    <t>ORD027</t>
  </si>
  <si>
    <t>2026-09-27</t>
  </si>
  <si>
    <t>Deepak</t>
  </si>
  <si>
    <t>ORD028</t>
  </si>
  <si>
    <t>2026-09-28</t>
  </si>
  <si>
    <t>Sowmya</t>
  </si>
  <si>
    <t>ORD029</t>
  </si>
  <si>
    <t>2026-09-29</t>
  </si>
  <si>
    <t>Varun</t>
  </si>
  <si>
    <t>ORD030</t>
  </si>
  <si>
    <t>2026-09-30</t>
  </si>
  <si>
    <t>Neha</t>
  </si>
  <si>
    <t>Product_Name</t>
  </si>
  <si>
    <t>Category</t>
  </si>
  <si>
    <t>Price</t>
  </si>
  <si>
    <t>Laptop</t>
  </si>
  <si>
    <t>Electronics</t>
  </si>
  <si>
    <t>Smartphone</t>
  </si>
  <si>
    <t>Headphones</t>
  </si>
  <si>
    <t>Office Chair</t>
  </si>
  <si>
    <t>Furniture</t>
  </si>
  <si>
    <t>Desk</t>
  </si>
  <si>
    <t>T-Shirt</t>
  </si>
  <si>
    <t>Clothing</t>
  </si>
  <si>
    <t>Jeans</t>
  </si>
  <si>
    <t>Shoes</t>
  </si>
  <si>
    <t>Grocery Pack</t>
  </si>
  <si>
    <t>Grocery</t>
  </si>
  <si>
    <t>Coffee Maker</t>
  </si>
  <si>
    <t>Home Appliances</t>
  </si>
  <si>
    <t>Test_Purpose</t>
  </si>
  <si>
    <t>ORD031</t>
  </si>
  <si>
    <t>2026-10-01</t>
  </si>
  <si>
    <t>P999</t>
  </si>
  <si>
    <t>Test_Customer</t>
  </si>
  <si>
    <t>Wrong Product ID - test XLOOKUP/VLOOKUP</t>
  </si>
  <si>
    <t>ORD032</t>
  </si>
  <si>
    <t>2026-10-02</t>
  </si>
  <si>
    <t>Blank_Product_ID</t>
  </si>
  <si>
    <t>Blank Product ID - test blank handling</t>
  </si>
  <si>
    <t>ORD033</t>
  </si>
  <si>
    <t>2026-10-03</t>
  </si>
  <si>
    <t>Text_Number_Test</t>
  </si>
  <si>
    <t>2</t>
  </si>
  <si>
    <t>Quantity stored as text - test mismatch</t>
  </si>
  <si>
    <t>Function</t>
  </si>
  <si>
    <t>Practice</t>
  </si>
  <si>
    <t>When_To_Use</t>
  </si>
  <si>
    <t>VLOOKUP</t>
  </si>
  <si>
    <t>Lookup Product_Name using Product_ID</t>
  </si>
  <si>
    <t>Use when the lookup key is in the first column of the lookup table.</t>
  </si>
  <si>
    <t>XLOOKUP</t>
  </si>
  <si>
    <t>Flexible lookup; can return a custom value such as Not Found.</t>
  </si>
  <si>
    <t>IF</t>
  </si>
  <si>
    <t>Classify sales as High/Low</t>
  </si>
  <si>
    <t>Use for condition-based decisions.</t>
  </si>
  <si>
    <t>SUMIF</t>
  </si>
  <si>
    <t>Total sales for one region</t>
  </si>
  <si>
    <t>Use when there is one condition.</t>
  </si>
  <si>
    <t>SUMIFS</t>
  </si>
  <si>
    <t>Sales for a region + category</t>
  </si>
  <si>
    <t>Use when there are multiple conditions.</t>
  </si>
  <si>
    <t>COUNTIF</t>
  </si>
  <si>
    <t>Count orders in one category/region</t>
  </si>
  <si>
    <t>COUNTIFS</t>
  </si>
  <si>
    <t>Count orders matching multiple conditions</t>
  </si>
  <si>
    <t>LEFT/RIGHT/MID</t>
  </si>
  <si>
    <t>Extract parts of Order_ID or text</t>
  </si>
  <si>
    <t>Use for text manipulation.</t>
  </si>
  <si>
    <t>CONCAT/TEXTJOIN</t>
  </si>
  <si>
    <t>Combine text fields</t>
  </si>
  <si>
    <t>Use to create combined labels/keys.</t>
  </si>
  <si>
    <t>INDEX/MATCH</t>
  </si>
  <si>
    <t>Flexible lookup</t>
  </si>
  <si>
    <t>Useful when the lookup column is not on the left.</t>
  </si>
  <si>
    <r>
      <t xml:space="preserve">Product_Name
</t>
    </r>
    <r>
      <rPr>
        <b/>
        <sz val="11"/>
        <color theme="1"/>
        <rFont val="Times New Roman"/>
        <family val="1"/>
      </rPr>
      <t>Product_Name</t>
    </r>
  </si>
  <si>
    <t>Sales_Level</t>
  </si>
  <si>
    <t>Example</t>
  </si>
  <si>
    <t>Result</t>
  </si>
  <si>
    <t>Product Name</t>
  </si>
  <si>
    <t>South Region Sales</t>
  </si>
  <si>
    <t>South + Electronics Sales</t>
  </si>
  <si>
    <t>Electronics Orders</t>
  </si>
  <si>
    <t>South Electronics Orders</t>
  </si>
  <si>
    <t>LEFT</t>
  </si>
  <si>
    <t>RIGHT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</si>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</sst>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D1" workbookViewId="0">
      <pane ySplit="1" topLeftCell="A2" activePane="bottomLeft" state="frozen"/>
      <selection pane="bottomLeft" activeCell="M27" sqref="M27"/>
    </sheetView>
  </sheetViews>
  <sheetFormatPr defaultRowHeight="14.4" x14ac:dyDescent="0.3"/>
  <cols>
    <col min="1" max="7" width="12" customWidth="1"/>
    <col min="8" max="8" width="14.77734375" customWidth="1"/>
    <col min="9" max="9" width="16.33203125" customWidth="1"/>
    <col min="10" max="10" width="15.88671875" customWidth="1"/>
  </cols>
  <sheetData>
    <row r="1" spans="1:1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174</v>
      </c>
      <c r="I1" s="4" t="s">
        <v>112</v>
      </c>
      <c r="J1" s="3" t="s">
        <v>175</v>
      </c>
      <c r="K1" s="2"/>
    </row>
    <row r="2" spans="1:11" x14ac:dyDescent="0.3">
      <c r="A2" t="s">
        <v>7</v>
      </c>
      <c r="B2" t="s">
        <v>8</v>
      </c>
      <c r="C2" t="s">
        <v>9</v>
      </c>
      <c r="D2" s="6" t="s">
        <v>10</v>
      </c>
      <c r="E2" s="6" t="s">
        <v>11</v>
      </c>
      <c r="F2" s="6">
        <v>1</v>
      </c>
      <c r="G2" s="6">
        <v>45000</v>
      </c>
      <c r="H2" s="6" t="str">
        <f>VLOOKUP(C2,Product_Master!A:D,2,FALSE)</f>
        <v>Laptop</v>
      </c>
      <c r="I2" s="6" t="str">
        <f>VLOOKUP(C2,Product_Master!A:D,3,FALSE)</f>
        <v>Electronics</v>
      </c>
      <c r="J2" s="6"/>
      <c r="K2" s="7"/>
    </row>
    <row r="3" spans="1:11" x14ac:dyDescent="0.3">
      <c r="A3" t="s">
        <v>12</v>
      </c>
      <c r="B3" t="s">
        <v>13</v>
      </c>
      <c r="C3" t="s">
        <v>14</v>
      </c>
      <c r="D3" s="6" t="s">
        <v>15</v>
      </c>
      <c r="E3" s="6" t="s">
        <v>11</v>
      </c>
      <c r="F3" s="6">
        <v>2</v>
      </c>
      <c r="G3" s="6">
        <v>17000</v>
      </c>
      <c r="H3" s="6" t="str">
        <f>VLOOKUP(C3,Product_Master!A:D,2,FALSE)</f>
        <v>Office Chair</v>
      </c>
      <c r="I3" s="6" t="str">
        <f>VLOOKUP(C3,Product_Master!A:D,3,FALSE)</f>
        <v>Furniture</v>
      </c>
      <c r="J3" s="6"/>
      <c r="K3" s="6"/>
    </row>
    <row r="4" spans="1:11" x14ac:dyDescent="0.3">
      <c r="A4" t="s">
        <v>16</v>
      </c>
      <c r="B4" t="s">
        <v>17</v>
      </c>
      <c r="C4" t="s">
        <v>18</v>
      </c>
      <c r="D4" s="6" t="s">
        <v>19</v>
      </c>
      <c r="E4" s="6" t="s">
        <v>20</v>
      </c>
      <c r="F4" s="6">
        <v>3</v>
      </c>
      <c r="G4" s="6">
        <v>3600</v>
      </c>
      <c r="H4" s="6" t="str">
        <f>VLOOKUP(C4,Product_Master!A:D,2,FALSE)</f>
        <v>T-Shirt</v>
      </c>
      <c r="I4" s="6" t="str">
        <f>VLOOKUP(C4,Product_Master!A:D,3,FALSE)</f>
        <v>Clothing</v>
      </c>
      <c r="J4" s="6"/>
      <c r="K4" s="6"/>
    </row>
    <row r="5" spans="1:11" x14ac:dyDescent="0.3">
      <c r="A5" t="s">
        <v>21</v>
      </c>
      <c r="B5" t="s">
        <v>22</v>
      </c>
      <c r="C5" t="s">
        <v>23</v>
      </c>
      <c r="D5" s="6" t="s">
        <v>24</v>
      </c>
      <c r="E5" s="6" t="s">
        <v>25</v>
      </c>
      <c r="F5" s="6">
        <v>1</v>
      </c>
      <c r="G5" s="6">
        <v>22000</v>
      </c>
      <c r="H5" s="6" t="str">
        <f>VLOOKUP(C5,Product_Master!A:D,2,FALSE)</f>
        <v>Smartphone</v>
      </c>
      <c r="I5" s="6" t="str">
        <f>VLOOKUP(C5,Product_Master!A:D,3,FALSE)</f>
        <v>Electronics</v>
      </c>
      <c r="J5" s="6"/>
      <c r="K5" s="6"/>
    </row>
    <row r="6" spans="1:11" x14ac:dyDescent="0.3">
      <c r="A6" t="s">
        <v>26</v>
      </c>
      <c r="B6" t="s">
        <v>27</v>
      </c>
      <c r="C6" t="s">
        <v>28</v>
      </c>
      <c r="D6" s="6" t="s">
        <v>29</v>
      </c>
      <c r="E6" s="6" t="s">
        <v>30</v>
      </c>
      <c r="F6" s="6">
        <v>4</v>
      </c>
      <c r="G6" s="6">
        <v>3600</v>
      </c>
      <c r="H6" s="6" t="str">
        <f>VLOOKUP(C6,Product_Master!A:D,2,FALSE)</f>
        <v>Grocery Pack</v>
      </c>
      <c r="I6" s="6" t="str">
        <f>VLOOKUP(C6,Product_Master!A:D,3,FALSE)</f>
        <v>Grocery</v>
      </c>
      <c r="J6" s="6"/>
      <c r="K6" s="6"/>
    </row>
    <row r="7" spans="1:11" x14ac:dyDescent="0.3">
      <c r="A7" t="s">
        <v>31</v>
      </c>
      <c r="B7" t="s">
        <v>32</v>
      </c>
      <c r="C7" t="s">
        <v>33</v>
      </c>
      <c r="D7" s="6" t="s">
        <v>34</v>
      </c>
      <c r="E7" s="6" t="s">
        <v>11</v>
      </c>
      <c r="F7" s="6">
        <v>2</v>
      </c>
      <c r="G7" s="6">
        <v>5000</v>
      </c>
      <c r="H7" s="6" t="str">
        <f>VLOOKUP(C7,Product_Master!A:D,2,FALSE)</f>
        <v>Headphones</v>
      </c>
      <c r="I7" s="6" t="str">
        <f>VLOOKUP(C7,Product_Master!A:D,3,FALSE)</f>
        <v>Electronics</v>
      </c>
      <c r="J7" s="6"/>
      <c r="K7" s="6"/>
    </row>
    <row r="8" spans="1:11" x14ac:dyDescent="0.3">
      <c r="A8" t="s">
        <v>35</v>
      </c>
      <c r="B8" t="s">
        <v>36</v>
      </c>
      <c r="C8" t="s">
        <v>37</v>
      </c>
      <c r="D8" s="6" t="s">
        <v>38</v>
      </c>
      <c r="E8" s="6" t="s">
        <v>20</v>
      </c>
      <c r="F8" s="6">
        <v>1</v>
      </c>
      <c r="G8" s="6">
        <v>12000</v>
      </c>
      <c r="H8" s="6" t="str">
        <f>VLOOKUP(C8,Product_Master!A:D,2,FALSE)</f>
        <v>Desk</v>
      </c>
      <c r="I8" s="6" t="str">
        <f>VLOOKUP(C8,Product_Master!A:D,3,FALSE)</f>
        <v>Furniture</v>
      </c>
      <c r="J8" s="6"/>
      <c r="K8" s="6"/>
    </row>
    <row r="9" spans="1:11" x14ac:dyDescent="0.3">
      <c r="A9" t="s">
        <v>39</v>
      </c>
      <c r="B9" t="s">
        <v>40</v>
      </c>
      <c r="C9" t="s">
        <v>41</v>
      </c>
      <c r="D9" s="6" t="s">
        <v>42</v>
      </c>
      <c r="E9" s="6" t="s">
        <v>25</v>
      </c>
      <c r="F9" s="6">
        <v>2</v>
      </c>
      <c r="G9" s="6">
        <v>4400</v>
      </c>
      <c r="H9" s="6" t="str">
        <f>VLOOKUP(C9,Product_Master!A:D,2,FALSE)</f>
        <v>Jeans</v>
      </c>
      <c r="I9" s="6" t="str">
        <f>VLOOKUP(C9,Product_Master!A:D,3,FALSE)</f>
        <v>Clothing</v>
      </c>
      <c r="J9" s="6"/>
      <c r="K9" s="6"/>
    </row>
    <row r="10" spans="1:11" x14ac:dyDescent="0.3">
      <c r="A10" t="s">
        <v>43</v>
      </c>
      <c r="B10" t="s">
        <v>44</v>
      </c>
      <c r="C10" t="s">
        <v>45</v>
      </c>
      <c r="D10" s="6" t="s">
        <v>46</v>
      </c>
      <c r="E10" s="6" t="s">
        <v>30</v>
      </c>
      <c r="F10" s="6">
        <v>1</v>
      </c>
      <c r="G10" s="6">
        <v>3200</v>
      </c>
      <c r="H10" s="6" t="str">
        <f>VLOOKUP(C10,Product_Master!A:D,2,FALSE)</f>
        <v>Shoes</v>
      </c>
      <c r="I10" s="6" t="str">
        <f>VLOOKUP(C10,Product_Master!A:D,3,FALSE)</f>
        <v>Clothing</v>
      </c>
      <c r="J10" s="6"/>
      <c r="K10" s="6"/>
    </row>
    <row r="11" spans="1:11" x14ac:dyDescent="0.3">
      <c r="A11" t="s">
        <v>47</v>
      </c>
      <c r="B11" t="s">
        <v>48</v>
      </c>
      <c r="C11" t="s">
        <v>49</v>
      </c>
      <c r="D11" s="6" t="s">
        <v>50</v>
      </c>
      <c r="E11" s="6" t="s">
        <v>11</v>
      </c>
      <c r="F11" s="6">
        <v>2</v>
      </c>
      <c r="G11" s="6">
        <v>11000</v>
      </c>
      <c r="H11" s="6" t="str">
        <f>VLOOKUP(C11,Product_Master!A:D,2,FALSE)</f>
        <v>Coffee Maker</v>
      </c>
      <c r="I11" s="6" t="str">
        <f>VLOOKUP(C11,Product_Master!A:D,3,FALSE)</f>
        <v>Home Appliances</v>
      </c>
      <c r="J11" s="6" t="str">
        <f>VLOOKUP(C2,Product_Master!A:D,3,FALSE)</f>
        <v>Electronics</v>
      </c>
      <c r="K11" s="6"/>
    </row>
    <row r="12" spans="1:11" x14ac:dyDescent="0.3">
      <c r="A12" t="s">
        <v>51</v>
      </c>
      <c r="B12" t="s">
        <v>52</v>
      </c>
      <c r="C12" t="s">
        <v>9</v>
      </c>
      <c r="D12" s="6" t="s">
        <v>53</v>
      </c>
      <c r="E12" s="6" t="s">
        <v>20</v>
      </c>
      <c r="F12" s="6">
        <v>1</v>
      </c>
      <c r="G12" s="6">
        <v>45000</v>
      </c>
      <c r="H12" s="6" t="str">
        <f>VLOOKUP(C12,Product_Master!A:D,2,FALSE)</f>
        <v>Laptop</v>
      </c>
      <c r="I12" s="6" t="str">
        <f>VLOOKUP(C12,Product_Master!A:D,3,FALSE)</f>
        <v>Electronics</v>
      </c>
      <c r="J12" s="6" t="str">
        <f>VLOOKUP(C3,Product_Master!A:D,3,FALSE)</f>
        <v>Furniture</v>
      </c>
      <c r="K12" s="6"/>
    </row>
    <row r="13" spans="1:11" x14ac:dyDescent="0.3">
      <c r="A13" t="s">
        <v>54</v>
      </c>
      <c r="B13" t="s">
        <v>55</v>
      </c>
      <c r="C13" t="s">
        <v>23</v>
      </c>
      <c r="D13" s="6" t="s">
        <v>56</v>
      </c>
      <c r="E13" s="6" t="s">
        <v>25</v>
      </c>
      <c r="F13" s="6">
        <v>2</v>
      </c>
      <c r="G13" s="6">
        <v>44000</v>
      </c>
      <c r="H13" s="6" t="str">
        <f>VLOOKUP(C13,Product_Master!A:D,2,FALSE)</f>
        <v>Smartphone</v>
      </c>
      <c r="I13" s="6" t="str">
        <f>VLOOKUP(C13,Product_Master!A:D,3,FALSE)</f>
        <v>Electronics</v>
      </c>
      <c r="J13" s="6" t="str">
        <f>VLOOKUP(C4,Product_Master!A:D,3,FALSE)</f>
        <v>Clothing</v>
      </c>
      <c r="K13" s="6"/>
    </row>
    <row r="14" spans="1:11" x14ac:dyDescent="0.3">
      <c r="A14" t="s">
        <v>57</v>
      </c>
      <c r="B14" t="s">
        <v>58</v>
      </c>
      <c r="C14" t="s">
        <v>18</v>
      </c>
      <c r="D14" s="6" t="s">
        <v>59</v>
      </c>
      <c r="E14" s="6" t="s">
        <v>30</v>
      </c>
      <c r="F14" s="6">
        <v>5</v>
      </c>
      <c r="G14" s="6">
        <v>6000</v>
      </c>
      <c r="H14" s="6" t="str">
        <f>VLOOKUP(C14,Product_Master!A:D,2,FALSE)</f>
        <v>T-Shirt</v>
      </c>
      <c r="I14" s="6" t="str">
        <f>VLOOKUP(C14,Product_Master!A:D,3,FALSE)</f>
        <v>Clothing</v>
      </c>
      <c r="J14" s="6" t="str">
        <f>VLOOKUP(C5,Product_Master!A:D,3,FALSE)</f>
        <v>Electronics</v>
      </c>
      <c r="K14" s="6"/>
    </row>
    <row r="15" spans="1:11" x14ac:dyDescent="0.3">
      <c r="A15" t="s">
        <v>60</v>
      </c>
      <c r="B15" t="s">
        <v>61</v>
      </c>
      <c r="C15" t="s">
        <v>14</v>
      </c>
      <c r="D15" s="6" t="s">
        <v>62</v>
      </c>
      <c r="E15" s="6" t="s">
        <v>11</v>
      </c>
      <c r="F15" s="6">
        <v>1</v>
      </c>
      <c r="G15" s="6">
        <v>8500</v>
      </c>
      <c r="H15" s="6" t="str">
        <f>VLOOKUP(C15,Product_Master!A:D,2,FALSE)</f>
        <v>Office Chair</v>
      </c>
      <c r="I15" s="6" t="str">
        <f>VLOOKUP(C15,Product_Master!A:D,3,FALSE)</f>
        <v>Furniture</v>
      </c>
      <c r="J15" s="6" t="str">
        <f>VLOOKUP(C6,Product_Master!A:D,3,FALSE)</f>
        <v>Grocery</v>
      </c>
      <c r="K15" s="6"/>
    </row>
    <row r="16" spans="1:11" x14ac:dyDescent="0.3">
      <c r="A16" t="s">
        <v>63</v>
      </c>
      <c r="B16" t="s">
        <v>64</v>
      </c>
      <c r="C16" t="s">
        <v>28</v>
      </c>
      <c r="D16" s="6" t="s">
        <v>65</v>
      </c>
      <c r="E16" s="6" t="s">
        <v>20</v>
      </c>
      <c r="F16" s="6">
        <v>3</v>
      </c>
      <c r="G16" s="6">
        <v>2700</v>
      </c>
      <c r="H16" s="6" t="str">
        <f>VLOOKUP(C16,Product_Master!A:D,2,FALSE)</f>
        <v>Grocery Pack</v>
      </c>
      <c r="I16" s="6" t="str">
        <f>VLOOKUP(C16,Product_Master!A:D,3,FALSE)</f>
        <v>Grocery</v>
      </c>
      <c r="J16" s="6" t="str">
        <f>VLOOKUP(C7,Product_Master!A:D,3,FALSE)</f>
        <v>Electronics</v>
      </c>
      <c r="K16" s="6"/>
    </row>
    <row r="17" spans="1:11" x14ac:dyDescent="0.3">
      <c r="A17" t="s">
        <v>66</v>
      </c>
      <c r="B17" t="s">
        <v>67</v>
      </c>
      <c r="C17" t="s">
        <v>33</v>
      </c>
      <c r="D17" s="6" t="s">
        <v>68</v>
      </c>
      <c r="E17" s="6" t="s">
        <v>25</v>
      </c>
      <c r="F17" s="6">
        <v>4</v>
      </c>
      <c r="G17" s="6">
        <v>10000</v>
      </c>
      <c r="H17" s="6" t="str">
        <f>VLOOKUP(C17,Product_Master!A:D,2,FALSE)</f>
        <v>Headphones</v>
      </c>
      <c r="I17" s="6" t="str">
        <f>VLOOKUP(C17,Product_Master!A:D,3,FALSE)</f>
        <v>Electronics</v>
      </c>
      <c r="J17" s="6" t="str">
        <f>VLOOKUP(C8,Product_Master!A:D,3,FALSE)</f>
        <v>Furniture</v>
      </c>
      <c r="K17" s="6"/>
    </row>
    <row r="18" spans="1:11" x14ac:dyDescent="0.3">
      <c r="A18" t="s">
        <v>69</v>
      </c>
      <c r="B18" t="s">
        <v>70</v>
      </c>
      <c r="C18" t="s">
        <v>37</v>
      </c>
      <c r="D18" s="6" t="s">
        <v>71</v>
      </c>
      <c r="E18" s="6" t="s">
        <v>30</v>
      </c>
      <c r="F18" s="6">
        <v>2</v>
      </c>
      <c r="G18" s="6">
        <v>24000</v>
      </c>
      <c r="H18" s="6" t="str">
        <f>VLOOKUP(C18,Product_Master!A:D,2,FALSE)</f>
        <v>Desk</v>
      </c>
      <c r="I18" s="6" t="str">
        <f>VLOOKUP(C18,Product_Master!A:D,3,FALSE)</f>
        <v>Furniture</v>
      </c>
      <c r="J18" s="6" t="str">
        <f>VLOOKUP(C9,Product_Master!A:D,3,FALSE)</f>
        <v>Clothing</v>
      </c>
      <c r="K18" s="6"/>
    </row>
    <row r="19" spans="1:11" x14ac:dyDescent="0.3">
      <c r="A19" t="s">
        <v>72</v>
      </c>
      <c r="B19" t="s">
        <v>73</v>
      </c>
      <c r="C19" t="s">
        <v>41</v>
      </c>
      <c r="D19" s="6" t="s">
        <v>74</v>
      </c>
      <c r="E19" s="6" t="s">
        <v>11</v>
      </c>
      <c r="F19" s="6">
        <v>1</v>
      </c>
      <c r="G19" s="6">
        <v>2200</v>
      </c>
      <c r="H19" s="6" t="str">
        <f>VLOOKUP(C19,Product_Master!A:D,2,FALSE)</f>
        <v>Jeans</v>
      </c>
      <c r="I19" s="6" t="str">
        <f>VLOOKUP(C19,Product_Master!A:D,3,FALSE)</f>
        <v>Clothing</v>
      </c>
      <c r="J19" s="6" t="str">
        <f>VLOOKUP(C10,Product_Master!A:D,3,FALSE)</f>
        <v>Clothing</v>
      </c>
      <c r="K19" s="6"/>
    </row>
    <row r="20" spans="1:11" x14ac:dyDescent="0.3">
      <c r="A20" t="s">
        <v>75</v>
      </c>
      <c r="B20" t="s">
        <v>76</v>
      </c>
      <c r="C20" t="s">
        <v>45</v>
      </c>
      <c r="D20" s="6" t="s">
        <v>77</v>
      </c>
      <c r="E20" s="6" t="s">
        <v>20</v>
      </c>
      <c r="F20" s="6">
        <v>2</v>
      </c>
      <c r="G20" s="6">
        <v>6400</v>
      </c>
      <c r="H20" s="6" t="str">
        <f>VLOOKUP(C20,Product_Master!A:D,2,FALSE)</f>
        <v>Shoes</v>
      </c>
      <c r="I20" s="6" t="str">
        <f>VLOOKUP(C20,Product_Master!A:D,3,FALSE)</f>
        <v>Clothing</v>
      </c>
      <c r="J20" s="6" t="str">
        <f>VLOOKUP(C11,Product_Master!A:D,3,FALSE)</f>
        <v>Home Appliances</v>
      </c>
      <c r="K20" s="6"/>
    </row>
    <row r="21" spans="1:11" x14ac:dyDescent="0.3">
      <c r="A21" t="s">
        <v>78</v>
      </c>
      <c r="B21" t="s">
        <v>79</v>
      </c>
      <c r="C21" t="s">
        <v>49</v>
      </c>
      <c r="D21" s="6" t="s">
        <v>80</v>
      </c>
      <c r="E21" s="6" t="s">
        <v>25</v>
      </c>
      <c r="F21" s="6">
        <v>1</v>
      </c>
      <c r="G21" s="6">
        <v>5500</v>
      </c>
      <c r="H21" s="6" t="str">
        <f>VLOOKUP(C21,Product_Master!A:D,2,FALSE)</f>
        <v>Coffee Maker</v>
      </c>
      <c r="I21" s="6" t="str">
        <f>VLOOKUP(C21,Product_Master!A:D,3,FALSE)</f>
        <v>Home Appliances</v>
      </c>
      <c r="J21" s="6" t="str">
        <f>VLOOKUP(C12,Product_Master!A:D,3,FALSE)</f>
        <v>Electronics</v>
      </c>
      <c r="K21" s="6"/>
    </row>
    <row r="22" spans="1:11" x14ac:dyDescent="0.3">
      <c r="A22" t="s">
        <v>81</v>
      </c>
      <c r="B22" t="s">
        <v>82</v>
      </c>
      <c r="C22" t="s">
        <v>9</v>
      </c>
      <c r="D22" s="6" t="s">
        <v>83</v>
      </c>
      <c r="E22" s="6" t="s">
        <v>30</v>
      </c>
      <c r="F22" s="6">
        <v>2</v>
      </c>
      <c r="G22" s="6">
        <v>90000</v>
      </c>
      <c r="H22" s="6" t="str">
        <f>VLOOKUP(C22,Product_Master!A:D,2,FALSE)</f>
        <v>Laptop</v>
      </c>
      <c r="I22" s="6" t="str">
        <f>VLOOKUP(C22,Product_Master!A:D,3,FALSE)</f>
        <v>Electronics</v>
      </c>
      <c r="J22" s="6" t="str">
        <f>VLOOKUP(C13,Product_Master!A:D,3,FALSE)</f>
        <v>Electronics</v>
      </c>
      <c r="K22" s="6"/>
    </row>
    <row r="23" spans="1:11" x14ac:dyDescent="0.3">
      <c r="A23" t="s">
        <v>84</v>
      </c>
      <c r="B23" t="s">
        <v>85</v>
      </c>
      <c r="C23" t="s">
        <v>23</v>
      </c>
      <c r="D23" s="6" t="s">
        <v>86</v>
      </c>
      <c r="E23" s="6" t="s">
        <v>11</v>
      </c>
      <c r="F23" s="6">
        <v>1</v>
      </c>
      <c r="G23" s="6">
        <v>22000</v>
      </c>
      <c r="H23" s="6" t="str">
        <f>VLOOKUP(C23,Product_Master!A:D,2,FALSE)</f>
        <v>Smartphone</v>
      </c>
      <c r="I23" s="6" t="str">
        <f>VLOOKUP(C23,Product_Master!A:D,3,FALSE)</f>
        <v>Electronics</v>
      </c>
      <c r="J23" s="6" t="str">
        <f>VLOOKUP(C14,Product_Master!A:D,3,FALSE)</f>
        <v>Clothing</v>
      </c>
      <c r="K23" s="6"/>
    </row>
    <row r="24" spans="1:11" x14ac:dyDescent="0.3">
      <c r="A24" t="s">
        <v>87</v>
      </c>
      <c r="B24" t="s">
        <v>88</v>
      </c>
      <c r="C24" t="s">
        <v>14</v>
      </c>
      <c r="D24" s="6" t="s">
        <v>89</v>
      </c>
      <c r="E24" s="6" t="s">
        <v>20</v>
      </c>
      <c r="F24" s="6">
        <v>3</v>
      </c>
      <c r="G24" s="6">
        <v>25500</v>
      </c>
      <c r="H24" s="6" t="str">
        <f>VLOOKUP(C24,Product_Master!A:D,2,FALSE)</f>
        <v>Office Chair</v>
      </c>
      <c r="I24" s="6" t="str">
        <f>VLOOKUP(C24,Product_Master!A:D,3,FALSE)</f>
        <v>Furniture</v>
      </c>
      <c r="J24" s="6" t="str">
        <f>VLOOKUP(C15,Product_Master!A:D,3,FALSE)</f>
        <v>Furniture</v>
      </c>
      <c r="K24" s="6"/>
    </row>
    <row r="25" spans="1:11" x14ac:dyDescent="0.3">
      <c r="A25" t="s">
        <v>90</v>
      </c>
      <c r="B25" t="s">
        <v>91</v>
      </c>
      <c r="C25" t="s">
        <v>18</v>
      </c>
      <c r="D25" s="6" t="s">
        <v>92</v>
      </c>
      <c r="E25" s="6" t="s">
        <v>25</v>
      </c>
      <c r="F25" s="6">
        <v>2</v>
      </c>
      <c r="G25" s="6">
        <v>2400</v>
      </c>
      <c r="H25" s="6" t="str">
        <f>VLOOKUP(C25,Product_Master!A:D,2,FALSE)</f>
        <v>T-Shirt</v>
      </c>
      <c r="I25" s="6" t="str">
        <f>VLOOKUP(C25,Product_Master!A:D,3,FALSE)</f>
        <v>Clothing</v>
      </c>
      <c r="J25" s="6" t="str">
        <f>VLOOKUP(C16,Product_Master!A:D,3,FALSE)</f>
        <v>Grocery</v>
      </c>
      <c r="K25" s="6"/>
    </row>
    <row r="26" spans="1:11" x14ac:dyDescent="0.3">
      <c r="A26" t="s">
        <v>93</v>
      </c>
      <c r="B26" t="s">
        <v>94</v>
      </c>
      <c r="C26" t="s">
        <v>28</v>
      </c>
      <c r="D26" s="6" t="s">
        <v>95</v>
      </c>
      <c r="E26" s="6" t="s">
        <v>30</v>
      </c>
      <c r="F26" s="6">
        <v>6</v>
      </c>
      <c r="G26" s="6">
        <v>5400</v>
      </c>
      <c r="H26" s="6" t="str">
        <f>VLOOKUP(C26,Product_Master!A:D,2,FALSE)</f>
        <v>Grocery Pack</v>
      </c>
      <c r="I26" s="6" t="str">
        <f>VLOOKUP(C26,Product_Master!A:D,3,FALSE)</f>
        <v>Grocery</v>
      </c>
      <c r="J26" s="6" t="str">
        <f>VLOOKUP(C17,Product_Master!A:D,3,FALSE)</f>
        <v>Electronics</v>
      </c>
      <c r="K26" s="6"/>
    </row>
    <row r="27" spans="1:11" x14ac:dyDescent="0.3">
      <c r="A27" t="s">
        <v>96</v>
      </c>
      <c r="B27" t="s">
        <v>97</v>
      </c>
      <c r="C27" t="s">
        <v>33</v>
      </c>
      <c r="D27" s="6" t="s">
        <v>98</v>
      </c>
      <c r="E27" s="6" t="s">
        <v>11</v>
      </c>
      <c r="F27" s="6">
        <v>1</v>
      </c>
      <c r="G27" s="6">
        <v>2500</v>
      </c>
      <c r="H27" s="6" t="str">
        <f>VLOOKUP(C27,Product_Master!A:D,2,FALSE)</f>
        <v>Headphones</v>
      </c>
      <c r="I27" s="6" t="str">
        <f>VLOOKUP(C27,Product_Master!A:D,3,FALSE)</f>
        <v>Electronics</v>
      </c>
      <c r="J27" s="6" t="str">
        <f>VLOOKUP(C18,Product_Master!A:D,3,FALSE)</f>
        <v>Furniture</v>
      </c>
      <c r="K27" s="6"/>
    </row>
    <row r="28" spans="1:11" x14ac:dyDescent="0.3">
      <c r="A28" t="s">
        <v>99</v>
      </c>
      <c r="B28" t="s">
        <v>100</v>
      </c>
      <c r="C28" t="s">
        <v>37</v>
      </c>
      <c r="D28" s="6" t="s">
        <v>101</v>
      </c>
      <c r="E28" s="6" t="s">
        <v>20</v>
      </c>
      <c r="F28" s="6">
        <v>1</v>
      </c>
      <c r="G28" s="6">
        <v>12000</v>
      </c>
      <c r="H28" s="6" t="str">
        <f>VLOOKUP(C28,Product_Master!A:D,2,FALSE)</f>
        <v>Desk</v>
      </c>
      <c r="I28" s="6" t="str">
        <f>VLOOKUP(C28,Product_Master!A:D,3,FALSE)</f>
        <v>Furniture</v>
      </c>
      <c r="J28" s="6" t="str">
        <f>VLOOKUP(C19,Product_Master!A:D,3,FALSE)</f>
        <v>Clothing</v>
      </c>
      <c r="K28" s="6"/>
    </row>
    <row r="29" spans="1:11" x14ac:dyDescent="0.3">
      <c r="A29" t="s">
        <v>102</v>
      </c>
      <c r="B29" t="s">
        <v>103</v>
      </c>
      <c r="C29" t="s">
        <v>41</v>
      </c>
      <c r="D29" s="6" t="s">
        <v>104</v>
      </c>
      <c r="E29" s="6" t="s">
        <v>25</v>
      </c>
      <c r="F29" s="6">
        <v>3</v>
      </c>
      <c r="G29" s="6">
        <v>6600</v>
      </c>
      <c r="H29" s="6" t="str">
        <f>VLOOKUP(C29,Product_Master!A:D,2,FALSE)</f>
        <v>Jeans</v>
      </c>
      <c r="I29" s="6" t="str">
        <f>VLOOKUP(C29,Product_Master!A:D,3,FALSE)</f>
        <v>Clothing</v>
      </c>
      <c r="J29" s="6" t="str">
        <f>VLOOKUP(C20,Product_Master!A:D,3,FALSE)</f>
        <v>Clothing</v>
      </c>
      <c r="K29" s="6"/>
    </row>
    <row r="30" spans="1:11" x14ac:dyDescent="0.3">
      <c r="A30" t="s">
        <v>105</v>
      </c>
      <c r="B30" t="s">
        <v>106</v>
      </c>
      <c r="C30" t="s">
        <v>45</v>
      </c>
      <c r="D30" s="6" t="s">
        <v>107</v>
      </c>
      <c r="E30" s="6" t="s">
        <v>30</v>
      </c>
      <c r="F30" s="6">
        <v>2</v>
      </c>
      <c r="G30" s="6">
        <v>6400</v>
      </c>
      <c r="H30" s="6" t="str">
        <f>VLOOKUP(C30,Product_Master!A:D,2,FALSE)</f>
        <v>Shoes</v>
      </c>
      <c r="I30" s="6" t="str">
        <f>VLOOKUP(C30,Product_Master!A:D,3,FALSE)</f>
        <v>Clothing</v>
      </c>
      <c r="J30" s="6" t="str">
        <f>VLOOKUP(C21,Product_Master!A:D,3,FALSE)</f>
        <v>Home Appliances</v>
      </c>
      <c r="K30" s="6"/>
    </row>
    <row r="31" spans="1:11" x14ac:dyDescent="0.3">
      <c r="A31" t="s">
        <v>108</v>
      </c>
      <c r="B31" t="s">
        <v>109</v>
      </c>
      <c r="C31" t="s">
        <v>49</v>
      </c>
      <c r="D31" s="6" t="s">
        <v>110</v>
      </c>
      <c r="E31" s="6" t="s">
        <v>11</v>
      </c>
      <c r="F31" s="6">
        <v>2</v>
      </c>
      <c r="G31" s="6">
        <v>11000</v>
      </c>
      <c r="H31" s="6" t="str">
        <f>VLOOKUP(C31,Product_Master!A:D,2,FALSE)</f>
        <v>Coffee Maker</v>
      </c>
      <c r="I31" s="6" t="str">
        <f>VLOOKUP(C31,Product_Master!A:D,3,FALSE)</f>
        <v>Home Appliances</v>
      </c>
      <c r="J31" s="6" t="str">
        <f>VLOOKUP(C22,Product_Master!A:D,3,FALSE)</f>
        <v>Electronics</v>
      </c>
      <c r="K31" s="6"/>
    </row>
  </sheetData>
  <autoFilter ref="A1:G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F8AA-1047-4B57-9E5B-3729931154C5}">
  <dimension ref="A1:C10"/>
  <sheetViews>
    <sheetView workbookViewId="0"/>
  </sheetViews>
  <sheetFormatPr defaultRowHeight="14.4" x14ac:dyDescent="0.3"/>
  <cols>
    <col min="1" max="1" width="12.21875" customWidth="1"/>
    <col min="2" max="2" width="21.6640625" customWidth="1"/>
    <col min="3" max="3" width="11.88671875" customWidth="1"/>
  </cols>
  <sheetData>
    <row r="1" spans="1:3" x14ac:dyDescent="0.3">
      <c r="A1" s="6" t="s">
        <v>144</v>
      </c>
      <c r="B1" s="6" t="s">
        <v>176</v>
      </c>
      <c r="C1" s="6" t="s">
        <v>177</v>
      </c>
    </row>
    <row r="2" spans="1:3" x14ac:dyDescent="0.3">
      <c r="A2" s="6" t="s">
        <v>150</v>
      </c>
      <c r="B2" s="6" t="s">
        <v>178</v>
      </c>
      <c r="C2" s="6" t="str">
        <f>_xlfn.XLOOKUP(Transactions!C2,Product_Master!A:A,Product_Master!B:B,"Not Found")</f>
        <v>Laptop</v>
      </c>
    </row>
    <row r="3" spans="1:3" x14ac:dyDescent="0.3">
      <c r="A3" s="6" t="s">
        <v>155</v>
      </c>
      <c r="B3" s="6" t="s">
        <v>179</v>
      </c>
      <c r="C3" s="6">
        <f>SUMIF(Transactions!E:E,"South",Transactions!G:G)</f>
        <v>124200</v>
      </c>
    </row>
    <row r="4" spans="1:3" x14ac:dyDescent="0.3">
      <c r="A4" s="6" t="s">
        <v>158</v>
      </c>
      <c r="B4" s="6" t="s">
        <v>180</v>
      </c>
      <c r="C4" s="6">
        <f>SUMIFS(Transactions!G:G,Transactions!E:E,"South",Transactions!I:I,"Electronics")</f>
        <v>74500</v>
      </c>
    </row>
    <row r="5" spans="1:3" x14ac:dyDescent="0.3">
      <c r="A5" s="6" t="s">
        <v>161</v>
      </c>
      <c r="B5" s="6" t="s">
        <v>181</v>
      </c>
      <c r="C5" s="6">
        <f>COUNTIF(Transactions!I:I,"Electronics")</f>
        <v>9</v>
      </c>
    </row>
    <row r="6" spans="1:3" x14ac:dyDescent="0.3">
      <c r="A6" s="6" t="s">
        <v>163</v>
      </c>
      <c r="B6" s="6" t="s">
        <v>182</v>
      </c>
      <c r="C6" s="6">
        <f>COUNTIFS(Transactions!E:E,"South",Transactions!I:I,"Electronics")</f>
        <v>4</v>
      </c>
    </row>
    <row r="7" spans="1:3" x14ac:dyDescent="0.3">
      <c r="A7" s="6" t="s">
        <v>183</v>
      </c>
      <c r="B7" s="6"/>
      <c r="C7" s="6" t="str">
        <f>LEFT(Transactions!A2,3)</f>
        <v>ORD</v>
      </c>
    </row>
    <row r="8" spans="1:3" x14ac:dyDescent="0.3">
      <c r="A8" s="6" t="s">
        <v>184</v>
      </c>
      <c r="B8" s="6"/>
      <c r="C8" s="6" t="str">
        <f>RIGHT(Transactions!A2,3)</f>
        <v>001</v>
      </c>
    </row>
    <row r="9" spans="1:3" x14ac:dyDescent="0.3">
      <c r="A9" s="6" t="s">
        <v>185</v>
      </c>
      <c r="B9" s="6"/>
      <c r="C9" s="6" t="str">
        <f>_xlfn.CONCAT(Transactions!A2,"-",Transactions!C2)</f>
        <v>ORD001-P101</v>
      </c>
    </row>
    <row r="10" spans="1:3" x14ac:dyDescent="0.3">
      <c r="A10" s="6" t="s">
        <v>171</v>
      </c>
      <c r="B10" s="6"/>
      <c r="C10" s="6" t="str">
        <f>INDEX(Product_Master!B:B,MATCH(Transactions!C2,Product_Master!A:A,0))</f>
        <v>Laptop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2" customWidth="1"/>
    <col min="2" max="2" width="14" customWidth="1"/>
    <col min="3" max="3" width="17" customWidth="1"/>
    <col min="4" max="4" width="12" customWidth="1"/>
  </cols>
  <sheetData>
    <row r="1" spans="1:5" x14ac:dyDescent="0.3">
      <c r="A1" s="1" t="s">
        <v>2</v>
      </c>
      <c r="B1" s="1" t="s">
        <v>111</v>
      </c>
      <c r="C1" s="1" t="s">
        <v>112</v>
      </c>
      <c r="D1" s="1" t="s">
        <v>113</v>
      </c>
    </row>
    <row r="2" spans="1:5" x14ac:dyDescent="0.3">
      <c r="A2" s="6" t="s">
        <v>9</v>
      </c>
      <c r="B2" s="6" t="s">
        <v>114</v>
      </c>
      <c r="C2" s="6" t="s">
        <v>115</v>
      </c>
      <c r="D2" s="6">
        <v>45000</v>
      </c>
      <c r="E2" s="6"/>
    </row>
    <row r="3" spans="1:5" x14ac:dyDescent="0.3">
      <c r="A3" s="6" t="s">
        <v>23</v>
      </c>
      <c r="B3" s="6" t="s">
        <v>116</v>
      </c>
      <c r="C3" s="6" t="s">
        <v>115</v>
      </c>
      <c r="D3" s="6">
        <v>22000</v>
      </c>
      <c r="E3" s="6"/>
    </row>
    <row r="4" spans="1:5" x14ac:dyDescent="0.3">
      <c r="A4" s="6" t="s">
        <v>33</v>
      </c>
      <c r="B4" s="6" t="s">
        <v>117</v>
      </c>
      <c r="C4" s="6" t="s">
        <v>115</v>
      </c>
      <c r="D4" s="6">
        <v>2500</v>
      </c>
      <c r="E4" s="6"/>
    </row>
    <row r="5" spans="1:5" x14ac:dyDescent="0.3">
      <c r="A5" s="6" t="s">
        <v>14</v>
      </c>
      <c r="B5" s="6" t="s">
        <v>118</v>
      </c>
      <c r="C5" s="6" t="s">
        <v>119</v>
      </c>
      <c r="D5" s="6">
        <v>8500</v>
      </c>
      <c r="E5" s="6"/>
    </row>
    <row r="6" spans="1:5" x14ac:dyDescent="0.3">
      <c r="A6" s="6" t="s">
        <v>37</v>
      </c>
      <c r="B6" s="6" t="s">
        <v>120</v>
      </c>
      <c r="C6" s="6" t="s">
        <v>119</v>
      </c>
      <c r="D6" s="6">
        <v>12000</v>
      </c>
      <c r="E6" s="6"/>
    </row>
    <row r="7" spans="1:5" x14ac:dyDescent="0.3">
      <c r="A7" s="6" t="s">
        <v>18</v>
      </c>
      <c r="B7" s="6" t="s">
        <v>121</v>
      </c>
      <c r="C7" s="6" t="s">
        <v>122</v>
      </c>
      <c r="D7" s="6">
        <v>1200</v>
      </c>
      <c r="E7" s="6"/>
    </row>
    <row r="8" spans="1:5" x14ac:dyDescent="0.3">
      <c r="A8" s="6" t="s">
        <v>41</v>
      </c>
      <c r="B8" s="6" t="s">
        <v>123</v>
      </c>
      <c r="C8" s="6" t="s">
        <v>122</v>
      </c>
      <c r="D8" s="6">
        <v>2200</v>
      </c>
      <c r="E8" s="6"/>
    </row>
    <row r="9" spans="1:5" x14ac:dyDescent="0.3">
      <c r="A9" s="6" t="s">
        <v>45</v>
      </c>
      <c r="B9" s="6" t="s">
        <v>124</v>
      </c>
      <c r="C9" s="6" t="s">
        <v>122</v>
      </c>
      <c r="D9" s="6">
        <v>3200</v>
      </c>
      <c r="E9" s="6"/>
    </row>
    <row r="10" spans="1:5" x14ac:dyDescent="0.3">
      <c r="A10" s="6" t="s">
        <v>28</v>
      </c>
      <c r="B10" s="6" t="s">
        <v>125</v>
      </c>
      <c r="C10" s="6" t="s">
        <v>126</v>
      </c>
      <c r="D10" s="6">
        <v>900</v>
      </c>
      <c r="E10" s="6"/>
    </row>
    <row r="11" spans="1:5" x14ac:dyDescent="0.3">
      <c r="A11" s="6" t="s">
        <v>49</v>
      </c>
      <c r="B11" s="6" t="s">
        <v>127</v>
      </c>
      <c r="C11" s="6" t="s">
        <v>128</v>
      </c>
      <c r="D11" s="6">
        <v>5500</v>
      </c>
      <c r="E11" s="6"/>
    </row>
    <row r="12" spans="1:5" x14ac:dyDescent="0.3">
      <c r="A12" s="6"/>
      <c r="B12" s="6"/>
      <c r="C12" s="6"/>
      <c r="D12" s="6"/>
      <c r="E12" s="6"/>
    </row>
  </sheetData>
  <autoFilter ref="A1:D1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3" width="12" customWidth="1"/>
    <col min="4" max="4" width="18" customWidth="1"/>
    <col min="5" max="7" width="12" customWidth="1"/>
    <col min="8" max="8" width="28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129</v>
      </c>
    </row>
    <row r="2" spans="1:10" x14ac:dyDescent="0.3">
      <c r="A2" s="6" t="s">
        <v>130</v>
      </c>
      <c r="B2" s="6" t="s">
        <v>131</v>
      </c>
      <c r="C2" s="6" t="s">
        <v>132</v>
      </c>
      <c r="D2" s="6" t="s">
        <v>133</v>
      </c>
      <c r="E2" s="6" t="s">
        <v>11</v>
      </c>
      <c r="F2" s="6" t="str">
        <f>_xlfn.XLOOKUP(C2,Product_Master!A:A,Product_Master!B:B,"Not Found")</f>
        <v>Not Found</v>
      </c>
      <c r="G2" s="6">
        <v>1000</v>
      </c>
      <c r="H2" s="6" t="s">
        <v>134</v>
      </c>
      <c r="I2" s="6"/>
      <c r="J2" s="6"/>
    </row>
    <row r="3" spans="1:10" x14ac:dyDescent="0.3">
      <c r="A3" s="6" t="s">
        <v>135</v>
      </c>
      <c r="B3" s="6" t="s">
        <v>136</v>
      </c>
      <c r="C3" s="6"/>
      <c r="D3" s="6" t="s">
        <v>137</v>
      </c>
      <c r="E3" s="6" t="s">
        <v>25</v>
      </c>
      <c r="F3" s="6">
        <v>2</v>
      </c>
      <c r="G3" s="6">
        <v>2000</v>
      </c>
      <c r="H3" s="6" t="s">
        <v>138</v>
      </c>
      <c r="I3" s="6"/>
      <c r="J3" s="6"/>
    </row>
    <row r="4" spans="1:10" x14ac:dyDescent="0.3">
      <c r="A4" s="6" t="s">
        <v>139</v>
      </c>
      <c r="B4" s="6" t="s">
        <v>140</v>
      </c>
      <c r="C4" s="6" t="s">
        <v>9</v>
      </c>
      <c r="D4" s="6" t="s">
        <v>141</v>
      </c>
      <c r="E4" s="6" t="s">
        <v>20</v>
      </c>
      <c r="F4" s="6" t="s">
        <v>142</v>
      </c>
      <c r="G4" s="6">
        <v>90000</v>
      </c>
      <c r="H4" s="6" t="s">
        <v>143</v>
      </c>
      <c r="I4" s="6"/>
      <c r="J4" s="6"/>
    </row>
  </sheetData>
  <autoFilter ref="A1:H4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3" width="28" customWidth="1"/>
  </cols>
  <sheetData>
    <row r="1" spans="1:3" x14ac:dyDescent="0.3">
      <c r="A1" s="1" t="s">
        <v>144</v>
      </c>
      <c r="B1" s="1" t="s">
        <v>145</v>
      </c>
      <c r="C1" s="1" t="s">
        <v>146</v>
      </c>
    </row>
    <row r="2" spans="1:3" x14ac:dyDescent="0.3">
      <c r="A2" t="s">
        <v>147</v>
      </c>
      <c r="B2" t="s">
        <v>148</v>
      </c>
      <c r="C2" t="s">
        <v>149</v>
      </c>
    </row>
    <row r="3" spans="1:3" x14ac:dyDescent="0.3">
      <c r="A3" t="s">
        <v>150</v>
      </c>
      <c r="B3" t="s">
        <v>148</v>
      </c>
      <c r="C3" t="s">
        <v>151</v>
      </c>
    </row>
    <row r="4" spans="1:3" x14ac:dyDescent="0.3">
      <c r="A4" t="s">
        <v>152</v>
      </c>
      <c r="B4" t="s">
        <v>153</v>
      </c>
      <c r="C4" t="s">
        <v>154</v>
      </c>
    </row>
    <row r="5" spans="1:3" x14ac:dyDescent="0.3">
      <c r="A5" t="s">
        <v>155</v>
      </c>
      <c r="B5" t="s">
        <v>156</v>
      </c>
      <c r="C5" t="s">
        <v>157</v>
      </c>
    </row>
    <row r="6" spans="1:3" x14ac:dyDescent="0.3">
      <c r="A6" t="s">
        <v>158</v>
      </c>
      <c r="B6" t="s">
        <v>159</v>
      </c>
      <c r="C6" t="s">
        <v>160</v>
      </c>
    </row>
    <row r="7" spans="1:3" x14ac:dyDescent="0.3">
      <c r="A7" t="s">
        <v>161</v>
      </c>
      <c r="B7" t="s">
        <v>162</v>
      </c>
      <c r="C7" t="s">
        <v>157</v>
      </c>
    </row>
    <row r="8" spans="1:3" x14ac:dyDescent="0.3">
      <c r="A8" t="s">
        <v>163</v>
      </c>
      <c r="B8" t="s">
        <v>164</v>
      </c>
      <c r="C8" t="s">
        <v>160</v>
      </c>
    </row>
    <row r="9" spans="1:3" x14ac:dyDescent="0.3">
      <c r="A9" t="s">
        <v>165</v>
      </c>
      <c r="B9" t="s">
        <v>166</v>
      </c>
      <c r="C9" t="s">
        <v>167</v>
      </c>
    </row>
    <row r="10" spans="1:3" x14ac:dyDescent="0.3">
      <c r="A10" t="s">
        <v>168</v>
      </c>
      <c r="B10" t="s">
        <v>169</v>
      </c>
      <c r="C10" t="s">
        <v>170</v>
      </c>
    </row>
    <row r="11" spans="1:3" x14ac:dyDescent="0.3">
      <c r="A11" t="s">
        <v>171</v>
      </c>
      <c r="B11" t="s">
        <v>172</v>
      </c>
      <c r="C11" t="s">
        <v>173</v>
      </c>
    </row>
  </sheetData>
  <autoFilter ref="A1:C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Formula_Practice</vt:lpstr>
      <vt:lpstr>Product_Master</vt:lpstr>
      <vt:lpstr>Edge_Cases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KORIMILLI GEETHIKA</cp:lastModifiedBy>
  <dcterms:created xsi:type="dcterms:W3CDTF">2026-10-06T08:31:01Z</dcterms:created>
  <dcterms:modified xsi:type="dcterms:W3CDTF">2026-10-06T09:25:31Z</dcterms:modified>
</cp:coreProperties>
</file>