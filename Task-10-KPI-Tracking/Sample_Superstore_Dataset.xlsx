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5912775c839a3fc/Documents/"/>
    </mc:Choice>
  </mc:AlternateContent>
  <xr:revisionPtr revIDLastSave="0" documentId="8_{51FFC92D-60D4-4B67-AB15-3C6F36029885}" xr6:coauthVersionLast="47" xr6:coauthVersionMax="47" xr10:uidLastSave="{00000000-0000-0000-0000-000000000000}"/>
  <bookViews>
    <workbookView xWindow="-110" yWindow="-110" windowWidth="19420" windowHeight="11500" activeTab="1" xr2:uid="{04E469F3-E2C5-405B-AA3D-31069937DACF}"/>
  </bookViews>
  <sheets>
    <sheet name="Raw_Data" sheetId="1" r:id="rId1"/>
    <sheet name="KPI_Summary" sheetId="2" r:id="rId2"/>
  </sheets>
  <calcPr calcId="0"/>
</workbook>
</file>

<file path=xl/calcChain.xml><?xml version="1.0" encoding="utf-8"?>
<calcChain xmlns="http://schemas.openxmlformats.org/spreadsheetml/2006/main">
  <c r="B5" i="2" l="1" a="1"/>
  <c r="B5" i="2" s="1"/>
  <c r="B4" i="2"/>
  <c r="B3" i="2"/>
  <c r="B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<sst xmlns="http://schemas.openxmlformats.org/spreadsheetml/2006/main" count="8437" uniqueCount="484">
  <si>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</si>
  <si>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</si>
  <si>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</si>
  <si>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</si>
  <si>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</si>
  <si>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</si>
  <si>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</si>
  <si>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</si>
  <si>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</si>
  <si>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</si>
  <si>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</si>
  <si>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</si>
  <si>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</si>
  <si>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</si>
  <si>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</si>
  <si>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</si>
  <si>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</si>
  <si>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</si>
  <si>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</si>
  <si>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</si>
  <si>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</si>
  <si>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CA-2024-100000</t>
  </si>
  <si>
    <t>Same Day</t>
  </si>
  <si>
    <t>AB-10056</t>
  </si>
  <si>
    <t>Linda Nguyen</t>
  </si>
  <si>
    <t>Corporate</t>
  </si>
  <si>
    <t>United States</t>
  </si>
  <si>
    <t>Burlington</t>
  </si>
  <si>
    <t>Vermont</t>
  </si>
  <si>
    <t>East</t>
  </si>
  <si>
    <t>FUR-CH-102</t>
  </si>
  <si>
    <t>Furniture</t>
  </si>
  <si>
    <t>Chairs</t>
  </si>
  <si>
    <t>Hon Deluxe Fabric Upholstered Chair</t>
  </si>
  <si>
    <t>CA-2024-100001</t>
  </si>
  <si>
    <t>First Class</t>
  </si>
  <si>
    <t>AB-10046</t>
  </si>
  <si>
    <t>Daniel Lopez</t>
  </si>
  <si>
    <t>Home Office</t>
  </si>
  <si>
    <t>Madison</t>
  </si>
  <si>
    <t>Wisconsin</t>
  </si>
  <si>
    <t>Central</t>
  </si>
  <si>
    <t>OFF-PA-202</t>
  </si>
  <si>
    <t>Office Supplies</t>
  </si>
  <si>
    <t>Paper</t>
  </si>
  <si>
    <t>Xerox Premium Copy Paper</t>
  </si>
  <si>
    <t>TEC-AC-302</t>
  </si>
  <si>
    <t>Technology</t>
  </si>
  <si>
    <t>Accessories</t>
  </si>
  <si>
    <t>Logitech Wireless Mouse</t>
  </si>
  <si>
    <t>Standard Class</t>
  </si>
  <si>
    <t>OFF-AR-204</t>
  </si>
  <si>
    <t>Art</t>
  </si>
  <si>
    <t>Newell Pencil Set</t>
  </si>
  <si>
    <t>CA-2024-100002</t>
  </si>
  <si>
    <t>EF-10007</t>
  </si>
  <si>
    <t>Arjun Khan</t>
  </si>
  <si>
    <t>New York City</t>
  </si>
  <si>
    <t>New York</t>
  </si>
  <si>
    <t>US-2024-100003</t>
  </si>
  <si>
    <t>CD-10042</t>
  </si>
  <si>
    <t>Tom Reddy</t>
  </si>
  <si>
    <t>Consumer</t>
  </si>
  <si>
    <t>Nashville</t>
  </si>
  <si>
    <t>Tennessee</t>
  </si>
  <si>
    <t>South</t>
  </si>
  <si>
    <t>TEC-PH-301</t>
  </si>
  <si>
    <t>Phones</t>
  </si>
  <si>
    <t>Apple iPhone Case Bundle</t>
  </si>
  <si>
    <t>OFF-ST-203</t>
  </si>
  <si>
    <t>Storage</t>
  </si>
  <si>
    <t>Fellowes Storage Boxes</t>
  </si>
  <si>
    <t>US-2025-100004</t>
  </si>
  <si>
    <t>AB-10029</t>
  </si>
  <si>
    <t>Emma Lopez</t>
  </si>
  <si>
    <t>Boston</t>
  </si>
  <si>
    <t>Massachusetts</t>
  </si>
  <si>
    <t>FUR-TA-103</t>
  </si>
  <si>
    <t>Tables</t>
  </si>
  <si>
    <t>Bretford Rectangular Conference Table</t>
  </si>
  <si>
    <t>US-2025-100005</t>
  </si>
  <si>
    <t>JK-10051</t>
  </si>
  <si>
    <t>Anita Patel</t>
  </si>
  <si>
    <t>Seattle</t>
  </si>
  <si>
    <t>Washington</t>
  </si>
  <si>
    <t>West</t>
  </si>
  <si>
    <t>IN-2026-100006</t>
  </si>
  <si>
    <t>AB-10009</t>
  </si>
  <si>
    <t>Grace Brown</t>
  </si>
  <si>
    <t>Los Angeles</t>
  </si>
  <si>
    <t>California</t>
  </si>
  <si>
    <t>IN-2024-100007</t>
  </si>
  <si>
    <t>GH-10019</t>
  </si>
  <si>
    <t>Nina Wilson</t>
  </si>
  <si>
    <t>Second Class</t>
  </si>
  <si>
    <t>TEC-AC-305</t>
  </si>
  <si>
    <t>Kingston 64GB USB Drive</t>
  </si>
  <si>
    <t>FUR-BO-101</t>
  </si>
  <si>
    <t>Bookcases</t>
  </si>
  <si>
    <t>Bush Somerset Collection Bookcase</t>
  </si>
  <si>
    <t>CA-2025-100008</t>
  </si>
  <si>
    <t>EF-10024</t>
  </si>
  <si>
    <t>Daniel Nguyen</t>
  </si>
  <si>
    <t>TEC-MA-303</t>
  </si>
  <si>
    <t>Machines</t>
  </si>
  <si>
    <t>Canon Imageclass Copier</t>
  </si>
  <si>
    <t>OFF-BI-201</t>
  </si>
  <si>
    <t>Binders</t>
  </si>
  <si>
    <t>Avery Durable Binders</t>
  </si>
  <si>
    <t>FUR-FU-104</t>
  </si>
  <si>
    <t>Furnishings</t>
  </si>
  <si>
    <t>Eldon Wave Desk Accessories</t>
  </si>
  <si>
    <t>CA-2026-100009</t>
  </si>
  <si>
    <t>OFF-LA-206</t>
  </si>
  <si>
    <t>Labels</t>
  </si>
  <si>
    <t>Avery Shipping Labels</t>
  </si>
  <si>
    <t>IN-2025-100010</t>
  </si>
  <si>
    <t>GH-10011</t>
  </si>
  <si>
    <t>Anita Garcia</t>
  </si>
  <si>
    <t>Portland</t>
  </si>
  <si>
    <t>Oregon</t>
  </si>
  <si>
    <t>TEC-CO-304</t>
  </si>
  <si>
    <t>Copiers</t>
  </si>
  <si>
    <t>HP Laser Printer</t>
  </si>
  <si>
    <t>CA-2025-100011</t>
  </si>
  <si>
    <t>OFF-AP-205</t>
  </si>
  <si>
    <t>Appliances</t>
  </si>
  <si>
    <t>Hoover Vacuum Cleaner</t>
  </si>
  <si>
    <t>US-2024-100012</t>
  </si>
  <si>
    <t>CD-10025</t>
  </si>
  <si>
    <t>Grace Smith</t>
  </si>
  <si>
    <t>San Francisco</t>
  </si>
  <si>
    <t>CA-2025-100013</t>
  </si>
  <si>
    <t>EF-10040</t>
  </si>
  <si>
    <t>Maria Wilson</t>
  </si>
  <si>
    <t>Philadelphia</t>
  </si>
  <si>
    <t>Pennsylvania</t>
  </si>
  <si>
    <t>IN-2025-100014</t>
  </si>
  <si>
    <t>CA-2026-100015</t>
  </si>
  <si>
    <t>CD-10027</t>
  </si>
  <si>
    <t>Grace Miller</t>
  </si>
  <si>
    <t>IN-2025-100016</t>
  </si>
  <si>
    <t>GH-10000</t>
  </si>
  <si>
    <t>Grace Reddy</t>
  </si>
  <si>
    <t>CA-2024-100017</t>
  </si>
  <si>
    <t>CA-2025-100018</t>
  </si>
  <si>
    <t>US-2024-100019</t>
  </si>
  <si>
    <t>US-2025-100020</t>
  </si>
  <si>
    <t>GH-10001</t>
  </si>
  <si>
    <t>Rahul Clark</t>
  </si>
  <si>
    <t>Miami</t>
  </si>
  <si>
    <t>Florida</t>
  </si>
  <si>
    <t>IN-2026-100021</t>
  </si>
  <si>
    <t>GH-10021</t>
  </si>
  <si>
    <t>Sean Smith</t>
  </si>
  <si>
    <t>IN-2024-100022</t>
  </si>
  <si>
    <t>IN-2026-100023</t>
  </si>
  <si>
    <t>CD-10058</t>
  </si>
  <si>
    <t>Carlos Nguyen</t>
  </si>
  <si>
    <t>CA-2026-100024</t>
  </si>
  <si>
    <t>EF-10035</t>
  </si>
  <si>
    <t>Nina Nguyen</t>
  </si>
  <si>
    <t>Charlotte</t>
  </si>
  <si>
    <t>North Carolina</t>
  </si>
  <si>
    <t>US-2024-100025</t>
  </si>
  <si>
    <t>IN-2024-100026</t>
  </si>
  <si>
    <t>CA-2024-100027</t>
  </si>
  <si>
    <t>US-2025-100028</t>
  </si>
  <si>
    <t>US-2024-100029</t>
  </si>
  <si>
    <t>GH-10005</t>
  </si>
  <si>
    <t>Sara Lopez</t>
  </si>
  <si>
    <t>US-2024-100030</t>
  </si>
  <si>
    <t>JK-10008</t>
  </si>
  <si>
    <t>Houston</t>
  </si>
  <si>
    <t>Texas</t>
  </si>
  <si>
    <t>CA-2024-100031</t>
  </si>
  <si>
    <t>CA-2025-100032</t>
  </si>
  <si>
    <t>US-2024-100033</t>
  </si>
  <si>
    <t>CD-10018</t>
  </si>
  <si>
    <t>Grace Clark</t>
  </si>
  <si>
    <t>US-2025-100034</t>
  </si>
  <si>
    <t>US-2026-100035</t>
  </si>
  <si>
    <t>JK-10023</t>
  </si>
  <si>
    <t>Arjun Rao</t>
  </si>
  <si>
    <t>IN-2025-100036</t>
  </si>
  <si>
    <t>CA-2025-100037</t>
  </si>
  <si>
    <t>GH-10036</t>
  </si>
  <si>
    <t>Grace Patel</t>
  </si>
  <si>
    <t>IN-2024-100038</t>
  </si>
  <si>
    <t>US-2026-100039</t>
  </si>
  <si>
    <t>CD-10049</t>
  </si>
  <si>
    <t>Kevin Reddy</t>
  </si>
  <si>
    <t>IN-2026-100040</t>
  </si>
  <si>
    <t>US-2025-100041</t>
  </si>
  <si>
    <t>IN-2025-100042</t>
  </si>
  <si>
    <t>JK-10031</t>
  </si>
  <si>
    <t>Linda Khan</t>
  </si>
  <si>
    <t>IN-2025-100043</t>
  </si>
  <si>
    <t>IN-2024-100044</t>
  </si>
  <si>
    <t>IN-2024-100045</t>
  </si>
  <si>
    <t>AB-10022</t>
  </si>
  <si>
    <t>Arjun Lopez</t>
  </si>
  <si>
    <t>IN-2026-100046</t>
  </si>
  <si>
    <t>AB-10045</t>
  </si>
  <si>
    <t>Nina Patel</t>
  </si>
  <si>
    <t>US-2024-100047</t>
  </si>
  <si>
    <t>JK-10043</t>
  </si>
  <si>
    <t>Priya Smith</t>
  </si>
  <si>
    <t>US-2024-100048</t>
  </si>
  <si>
    <t>CA-2024-100049</t>
  </si>
  <si>
    <t>JK-10034</t>
  </si>
  <si>
    <t>Grace Wilson</t>
  </si>
  <si>
    <t>CA-2024-100050</t>
  </si>
  <si>
    <t>CD-10014</t>
  </si>
  <si>
    <t>Grace Rao</t>
  </si>
  <si>
    <t>US-2026-100051</t>
  </si>
  <si>
    <t>CA-2024-100052</t>
  </si>
  <si>
    <t>US-2026-100053</t>
  </si>
  <si>
    <t>JK-10020</t>
  </si>
  <si>
    <t>Arjun Patel</t>
  </si>
  <si>
    <t>US-2026-100054</t>
  </si>
  <si>
    <t>AB-10013</t>
  </si>
  <si>
    <t>Rahul Lopez</t>
  </si>
  <si>
    <t>CA-2025-100055</t>
  </si>
  <si>
    <t>EF-10057</t>
  </si>
  <si>
    <t>IN-2024-100056</t>
  </si>
  <si>
    <t>CA-2026-100057</t>
  </si>
  <si>
    <t>GH-10012</t>
  </si>
  <si>
    <t>Sara Clark</t>
  </si>
  <si>
    <t>Atlanta</t>
  </si>
  <si>
    <t>Georgia</t>
  </si>
  <si>
    <t>CA-2024-100058</t>
  </si>
  <si>
    <t>EF-10016</t>
  </si>
  <si>
    <t>IN-2026-100059</t>
  </si>
  <si>
    <t>US-2024-100060</t>
  </si>
  <si>
    <t>IN-2025-100061</t>
  </si>
  <si>
    <t>CA-2026-100062</t>
  </si>
  <si>
    <t>CA-2026-100063</t>
  </si>
  <si>
    <t>IN-2026-100064</t>
  </si>
  <si>
    <t>CA-2026-100065</t>
  </si>
  <si>
    <t>US-2026-100066</t>
  </si>
  <si>
    <t>AB-10050</t>
  </si>
  <si>
    <t>Priya Miller</t>
  </si>
  <si>
    <t>CA-2026-100067</t>
  </si>
  <si>
    <t>US-2025-100068</t>
  </si>
  <si>
    <t>CA-2024-100069</t>
  </si>
  <si>
    <t>GH-10004</t>
  </si>
  <si>
    <t>Anita Clark</t>
  </si>
  <si>
    <t>Dallas</t>
  </si>
  <si>
    <t>US-2026-100070</t>
  </si>
  <si>
    <t>GH-10048</t>
  </si>
  <si>
    <t>Kevin Patel</t>
  </si>
  <si>
    <t>US-2025-100071</t>
  </si>
  <si>
    <t>JK-10039</t>
  </si>
  <si>
    <t>Nina Brown</t>
  </si>
  <si>
    <t>IN-2024-100072</t>
  </si>
  <si>
    <t>US-2026-100073</t>
  </si>
  <si>
    <t>JK-10047</t>
  </si>
  <si>
    <t>Anita Rao</t>
  </si>
  <si>
    <t>CA-2025-100074</t>
  </si>
  <si>
    <t>US-2024-100075</t>
  </si>
  <si>
    <t>AB-10052</t>
  </si>
  <si>
    <t>Carlos Reddy</t>
  </si>
  <si>
    <t>Chicago</t>
  </si>
  <si>
    <t>Illinois</t>
  </si>
  <si>
    <t>CA-2025-100076</t>
  </si>
  <si>
    <t>AB-10059</t>
  </si>
  <si>
    <t>US-2024-100077</t>
  </si>
  <si>
    <t>CA-2025-100078</t>
  </si>
  <si>
    <t>CA-2025-100079</t>
  </si>
  <si>
    <t>US-2026-100080</t>
  </si>
  <si>
    <t>US-2026-100081</t>
  </si>
  <si>
    <t>GH-10033</t>
  </si>
  <si>
    <t>Kevin Clark</t>
  </si>
  <si>
    <t>US-2025-100082</t>
  </si>
  <si>
    <t>CA-2024-100083</t>
  </si>
  <si>
    <t>CA-2026-100084</t>
  </si>
  <si>
    <t>US-2025-100085</t>
  </si>
  <si>
    <t>IN-2024-100086</t>
  </si>
  <si>
    <t>JK-10055</t>
  </si>
  <si>
    <t>Carlos Patel</t>
  </si>
  <si>
    <t>US-2024-100087</t>
  </si>
  <si>
    <t>CA-2025-100088</t>
  </si>
  <si>
    <t>EF-10030</t>
  </si>
  <si>
    <t>CA-2024-100089</t>
  </si>
  <si>
    <t>CD-10026</t>
  </si>
  <si>
    <t>Emma Patel</t>
  </si>
  <si>
    <t>IN-2026-100090</t>
  </si>
  <si>
    <t>IN-2024-100091</t>
  </si>
  <si>
    <t>GH-10010</t>
  </si>
  <si>
    <t>Nina Reddy</t>
  </si>
  <si>
    <t>IN-2024-100092</t>
  </si>
  <si>
    <t>US-2025-100093</t>
  </si>
  <si>
    <t>IN-2026-100094</t>
  </si>
  <si>
    <t>US-2024-100095</t>
  </si>
  <si>
    <t>US-2026-100096</t>
  </si>
  <si>
    <t>CD-10053</t>
  </si>
  <si>
    <t>IN-2025-100097</t>
  </si>
  <si>
    <t>JK-10044</t>
  </si>
  <si>
    <t>Anita Miller</t>
  </si>
  <si>
    <t>CA-2025-100098</t>
  </si>
  <si>
    <t>US-2026-100099</t>
  </si>
  <si>
    <t>CA-2024-100100</t>
  </si>
  <si>
    <t>IN-2024-100101</t>
  </si>
  <si>
    <t>US-2026-100102</t>
  </si>
  <si>
    <t>JK-10037</t>
  </si>
  <si>
    <t>CA-2025-100103</t>
  </si>
  <si>
    <t>CA-2024-100104</t>
  </si>
  <si>
    <t>IN-2026-100105</t>
  </si>
  <si>
    <t>IN-2025-100106</t>
  </si>
  <si>
    <t>GH-10041</t>
  </si>
  <si>
    <t>CA-2024-100107</t>
  </si>
  <si>
    <t>IN-2024-100108</t>
  </si>
  <si>
    <t>US-2025-100109</t>
  </si>
  <si>
    <t>US-2024-100110</t>
  </si>
  <si>
    <t>CA-2024-100111</t>
  </si>
  <si>
    <t>US-2024-100112</t>
  </si>
  <si>
    <t>IN-2025-100113</t>
  </si>
  <si>
    <t>IN-2024-100114</t>
  </si>
  <si>
    <t>IN-2024-100115</t>
  </si>
  <si>
    <t>CA-2025-100116</t>
  </si>
  <si>
    <t>CA-2024-100117</t>
  </si>
  <si>
    <t>IN-2024-100118</t>
  </si>
  <si>
    <t>CA-2025-100119</t>
  </si>
  <si>
    <t>IN-2024-100120</t>
  </si>
  <si>
    <t>IN-2024-100121</t>
  </si>
  <si>
    <t>IN-2024-100122</t>
  </si>
  <si>
    <t>IN-2024-100123</t>
  </si>
  <si>
    <t>US-2024-100124</t>
  </si>
  <si>
    <t>IN-2026-100125</t>
  </si>
  <si>
    <t>IN-2025-100126</t>
  </si>
  <si>
    <t>IN-2024-100127</t>
  </si>
  <si>
    <t>CA-2026-100128</t>
  </si>
  <si>
    <t>US-2024-100129</t>
  </si>
  <si>
    <t>CA-2026-100130</t>
  </si>
  <si>
    <t>CA-2024-100131</t>
  </si>
  <si>
    <t>JK-10038</t>
  </si>
  <si>
    <t>Tom Clark</t>
  </si>
  <si>
    <t>US-2025-100132</t>
  </si>
  <si>
    <t>AB-10015</t>
  </si>
  <si>
    <t>Priya Rao</t>
  </si>
  <si>
    <t>US-2026-100133</t>
  </si>
  <si>
    <t>US-2026-100134</t>
  </si>
  <si>
    <t>EF-10002</t>
  </si>
  <si>
    <t>Sean Garcia</t>
  </si>
  <si>
    <t>US-2026-100135</t>
  </si>
  <si>
    <t>US-2026-100136</t>
  </si>
  <si>
    <t>CA-2024-100137</t>
  </si>
  <si>
    <t>CA-2025-100138</t>
  </si>
  <si>
    <t>EF-10028</t>
  </si>
  <si>
    <t>CA-2024-100139</t>
  </si>
  <si>
    <t>US-2025-100140</t>
  </si>
  <si>
    <t>US-2025-100141</t>
  </si>
  <si>
    <t>IN-2025-100142</t>
  </si>
  <si>
    <t>IN-2025-100143</t>
  </si>
  <si>
    <t>US-2024-100144</t>
  </si>
  <si>
    <t>CA-2025-100145</t>
  </si>
  <si>
    <t>US-2025-100146</t>
  </si>
  <si>
    <t>US-2024-100147</t>
  </si>
  <si>
    <t>CA-2025-100148</t>
  </si>
  <si>
    <t>IN-2025-100149</t>
  </si>
  <si>
    <t>CD-10017</t>
  </si>
  <si>
    <t>Rahul Wilson</t>
  </si>
  <si>
    <t>US-2026-100150</t>
  </si>
  <si>
    <t>CA-2025-100151</t>
  </si>
  <si>
    <t>IN-2025-100152</t>
  </si>
  <si>
    <t>IN-2025-100153</t>
  </si>
  <si>
    <t>US-2024-100154</t>
  </si>
  <si>
    <t>CA-2024-100155</t>
  </si>
  <si>
    <t>IN-2025-100156</t>
  </si>
  <si>
    <t>US-2024-100157</t>
  </si>
  <si>
    <t>US-2024-100158</t>
  </si>
  <si>
    <t>CA-2024-100159</t>
  </si>
  <si>
    <t>CD-10003</t>
  </si>
  <si>
    <t>Nina Khan</t>
  </si>
  <si>
    <t>IN-2024-100160</t>
  </si>
  <si>
    <t>US-2025-100161</t>
  </si>
  <si>
    <t>CA-2025-100162</t>
  </si>
  <si>
    <t>US-2026-100163</t>
  </si>
  <si>
    <t>US-2024-100164</t>
  </si>
  <si>
    <t>US-2024-100165</t>
  </si>
  <si>
    <t>CA-2024-100166</t>
  </si>
  <si>
    <t>CA-2024-100167</t>
  </si>
  <si>
    <t>CA-2024-100168</t>
  </si>
  <si>
    <t>CA-2024-100169</t>
  </si>
  <si>
    <t>IN-2024-100170</t>
  </si>
  <si>
    <t>CA-2024-100171</t>
  </si>
  <si>
    <t>IN-2025-100172</t>
  </si>
  <si>
    <t>IN-2024-100173</t>
  </si>
  <si>
    <t>IN-2024-100174</t>
  </si>
  <si>
    <t>US-2025-100175</t>
  </si>
  <si>
    <t>IN-2024-100176</t>
  </si>
  <si>
    <t>US-2024-100177</t>
  </si>
  <si>
    <t>CA-2024-100178</t>
  </si>
  <si>
    <t>US-2025-100179</t>
  </si>
  <si>
    <t>IN-2024-100180</t>
  </si>
  <si>
    <t>CA-2024-100181</t>
  </si>
  <si>
    <t>IN-2024-100182</t>
  </si>
  <si>
    <t>IN-2024-100183</t>
  </si>
  <si>
    <t>IN-2024-100184</t>
  </si>
  <si>
    <t>US-2026-100185</t>
  </si>
  <si>
    <t>IN-2026-100186</t>
  </si>
  <si>
    <t>CA-2024-100187</t>
  </si>
  <si>
    <t>IN-2026-100188</t>
  </si>
  <si>
    <t>US-2025-100189</t>
  </si>
  <si>
    <t>CD-10006</t>
  </si>
  <si>
    <t>Daniel Garcia</t>
  </si>
  <si>
    <t>US-2026-100190</t>
  </si>
  <si>
    <t>IN-2026-100191</t>
  </si>
  <si>
    <t>US-2024-100192</t>
  </si>
  <si>
    <t>CA-2026-100193</t>
  </si>
  <si>
    <t>US-2025-100194</t>
  </si>
  <si>
    <t>US-2025-100195</t>
  </si>
  <si>
    <t>US-2026-100196</t>
  </si>
  <si>
    <t>CA-2024-100197</t>
  </si>
  <si>
    <t>CA-2025-100198</t>
  </si>
  <si>
    <t>CA-2024-100199</t>
  </si>
  <si>
    <t>CA-2024-100200</t>
  </si>
  <si>
    <t>US-2026-100201</t>
  </si>
  <si>
    <t>US-2026-100202</t>
  </si>
  <si>
    <t>IN-2024-100203</t>
  </si>
  <si>
    <t>CA-2026-100204</t>
  </si>
  <si>
    <t>IN-2026-100205</t>
  </si>
  <si>
    <t>CA-2024-100206</t>
  </si>
  <si>
    <t>US-2026-100207</t>
  </si>
  <si>
    <t>IN-2025-100208</t>
  </si>
  <si>
    <t>CA-2024-100209</t>
  </si>
  <si>
    <t>CA-2026-100210</t>
  </si>
  <si>
    <t>CA-2026-100211</t>
  </si>
  <si>
    <t>US-2026-100212</t>
  </si>
  <si>
    <t>CA-2025-100213</t>
  </si>
  <si>
    <t>US-2024-100214</t>
  </si>
  <si>
    <t>US-2025-100215</t>
  </si>
  <si>
    <t>IN-2024-100216</t>
  </si>
  <si>
    <t>IN-2024-100217</t>
  </si>
  <si>
    <t>US-2024-100218</t>
  </si>
  <si>
    <t>CA-2024-100219</t>
  </si>
  <si>
    <t>US-2024-100220</t>
  </si>
  <si>
    <t>US-2025-100221</t>
  </si>
  <si>
    <t>AB-10032</t>
  </si>
  <si>
    <t>IN-2024-100222</t>
  </si>
  <si>
    <t>US-2024-100223</t>
  </si>
  <si>
    <t>IN-2024-100224</t>
  </si>
  <si>
    <t>US-2024-100225</t>
  </si>
  <si>
    <t>US-2026-100226</t>
  </si>
  <si>
    <t>US-2024-100227</t>
  </si>
  <si>
    <t>US-2024-100228</t>
  </si>
  <si>
    <t>CA-2024-100229</t>
  </si>
  <si>
    <t>US-2026-100230</t>
  </si>
  <si>
    <t>IN-2026-100231</t>
  </si>
  <si>
    <t>IN-2024-100232</t>
  </si>
  <si>
    <t>US-2024-100233</t>
  </si>
  <si>
    <t>IN-2025-100234</t>
  </si>
  <si>
    <t>US-2026-100235</t>
  </si>
  <si>
    <t>CA-2024-100236</t>
  </si>
  <si>
    <t>US-2025-100237</t>
  </si>
  <si>
    <t>US-2024-100238</t>
  </si>
  <si>
    <t>IN-2024-100239</t>
  </si>
  <si>
    <t>CA-2025-100240</t>
  </si>
  <si>
    <t>IN-2024-100241</t>
  </si>
  <si>
    <t>US-2025-100242</t>
  </si>
  <si>
    <t>CA-2024-100243</t>
  </si>
  <si>
    <t>CA-2024-100244</t>
  </si>
  <si>
    <t>US-2024-100245</t>
  </si>
  <si>
    <t>IN-2025-100246</t>
  </si>
  <si>
    <t>IN-2025-100247</t>
  </si>
  <si>
    <t>US-2024-100248</t>
  </si>
  <si>
    <t>CA-2026-100249</t>
  </si>
  <si>
    <t>EF-10054</t>
  </si>
  <si>
    <t>IN-2024-100250</t>
  </si>
  <si>
    <t>CA-2024-100251</t>
  </si>
  <si>
    <t>IN-2026-100252</t>
  </si>
  <si>
    <t>IN-2025-100253</t>
  </si>
  <si>
    <t>IN-2025-100254</t>
  </si>
  <si>
    <t>CA-2026-100255</t>
  </si>
  <si>
    <t>CA-2025-100256</t>
  </si>
  <si>
    <t>US-2025-100257</t>
  </si>
  <si>
    <t>CA-2024-100258</t>
  </si>
  <si>
    <t>CA-2024-100259</t>
  </si>
  <si>
    <t>Total Revenue</t>
  </si>
  <si>
    <t>Units Sold</t>
  </si>
  <si>
    <t>Average Order Value</t>
  </si>
  <si>
    <t>Top Product</t>
  </si>
  <si>
    <t xml:space="preserve">          SIMPLE KPI TRACKING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</si>
</sst>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_ [$₹-4009]\ * #,##0.00_ ;_ [$₹-4009]\ * \-#,##0.00_ ;_ [$₹-4009]\ * &quot;-&quot;??_ ;_ @_ 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8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18" fillId="33" borderId="10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68" fontId="0" fillId="0" borderId="10" xfId="0" applyNumberForma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CCB0E2-535C-47F4-8937-516639DF7C55}" name="Orders" displayName="Orders" ref="A1:U649" totalsRowShown="0">
  <autoFilter ref="A1:U649" xr:uid="{E2CCB0E2-535C-47F4-8937-516639DF7C55}"/>
  <tableColumns count="21">
    <tableColumn id="1" xr3:uid="{8AB0E82A-DFBC-4CD0-B3D6-976D4039F33C}" name="Row ID"/>
    <tableColumn id="2" xr3:uid="{448018DC-EB21-4C03-887A-039FD7B5C5CF}" name="Order ID"/>
    <tableColumn id="3" xr3:uid="{C425ADEA-AD81-421C-8D09-4FC56C035493}" name="Order Date" dataDxfId="1"/>
    <tableColumn id="4" xr3:uid="{91497DB1-7179-4FED-ADF5-A4DF78842285}" name="Ship Date" dataDxfId="0"/>
    <tableColumn id="5" xr3:uid="{9A62B574-A81B-4A48-927B-4CCBD636F322}" name="Ship Mode"/>
    <tableColumn id="6" xr3:uid="{9B029624-6DE4-44A7-8024-2948FE5C6A74}" name="Customer ID"/>
    <tableColumn id="7" xr3:uid="{C99284B0-ECDF-4F7A-B149-C010862558C2}" name="Customer Name"/>
    <tableColumn id="8" xr3:uid="{0B39C373-4A9D-43DF-8E1A-BE03A4FDE271}" name="Segment"/>
    <tableColumn id="9" xr3:uid="{672A2105-419A-4CEF-B3AC-9D62A3B2A642}" name="Country"/>
    <tableColumn id="10" xr3:uid="{E613B33A-0F3E-49A8-84BF-AC1B56CDC3F8}" name="City"/>
    <tableColumn id="11" xr3:uid="{71CEC431-8B1D-438A-B6D4-8AF4A12411EE}" name="State"/>
    <tableColumn id="12" xr3:uid="{3EAD7BB0-3DC2-4163-969C-AF4563125505}" name="Postal Code"/>
    <tableColumn id="13" xr3:uid="{6D381F49-2876-4424-B55B-4D748A03E39B}" name="Region"/>
    <tableColumn id="14" xr3:uid="{A6D18825-6192-4CCC-B579-13AFF97B2AFC}" name="Product ID"/>
    <tableColumn id="15" xr3:uid="{FE2EDF4A-0CFA-432A-AB61-90A72A8B6DBF}" name="Category"/>
    <tableColumn id="16" xr3:uid="{9BD153CA-E090-45D7-8359-C835BC3AB095}" name="Sub-Category"/>
    <tableColumn id="17" xr3:uid="{A14120E5-BD4E-4A24-BF16-4F4F7F7F2520}" name="Product Name"/>
    <tableColumn id="18" xr3:uid="{0A273376-C089-4032-B499-33D9922C6B94}" name="Sales"/>
    <tableColumn id="19" xr3:uid="{D6B31CAE-AEE8-4205-86DA-CD44E05A3751}" name="Quantity"/>
    <tableColumn id="20" xr3:uid="{0D85D08C-03BF-4D4F-B641-26D6CBF45E7E}" name="Discount"/>
    <tableColumn id="21" xr3:uid="{13C7D48D-4235-4B4B-986C-046E7A096EEB}" name="Prof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90F49-E51C-4DF2-A87A-D4173ADD5C9F}">
  <dimension ref="A1:U649"/>
  <sheetViews>
    <sheetView topLeftCell="A633" workbookViewId="0">
      <selection activeCell="B650" sqref="B650"/>
    </sheetView>
  </sheetViews>
  <sheetFormatPr defaultRowHeight="14.5" x14ac:dyDescent="0.35"/>
  <cols>
    <col min="2" max="2" width="10" customWidth="1"/>
    <col min="3" max="3" width="12.1796875" customWidth="1"/>
    <col min="4" max="4" width="10.81640625" customWidth="1"/>
    <col min="5" max="5" width="11.7265625" customWidth="1"/>
    <col min="6" max="6" width="13.26953125" customWidth="1"/>
    <col min="7" max="7" width="16.36328125" customWidth="1"/>
    <col min="8" max="8" width="10.08984375" customWidth="1"/>
    <col min="9" max="9" width="9.54296875" customWidth="1"/>
    <col min="12" max="12" width="12.7265625" customWidth="1"/>
    <col min="14" max="14" width="11.7265625" customWidth="1"/>
    <col min="15" max="15" width="10.26953125" customWidth="1"/>
    <col min="16" max="16" width="14" customWidth="1"/>
    <col min="17" max="17" width="14.81640625" customWidth="1"/>
    <col min="19" max="20" width="10.1796875" customWidth="1"/>
  </cols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>
        <v>1</v>
      </c>
      <c r="B2" t="s">
        <v>21</v>
      </c>
      <c r="C2" s="1">
        <v>45655</v>
      </c>
      <c r="D2" s="1">
        <v>45656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736</v>
      </c>
      <c r="S2">
        <v>4</v>
      </c>
      <c r="T2">
        <v>0.2</v>
      </c>
      <c r="U2">
        <v>-1.93</v>
      </c>
    </row>
    <row r="3" spans="1:21" x14ac:dyDescent="0.35">
      <c r="A3">
        <v>2</v>
      </c>
      <c r="B3" t="s">
        <v>34</v>
      </c>
      <c r="C3" s="1">
        <v>45638</v>
      </c>
      <c r="D3" s="1">
        <v>45640</v>
      </c>
      <c r="E3" t="s">
        <v>35</v>
      </c>
      <c r="F3" t="s">
        <v>36</v>
      </c>
      <c r="G3" t="s">
        <v>37</v>
      </c>
      <c r="H3" t="s">
        <v>38</v>
      </c>
      <c r="I3" t="s">
        <v>26</v>
      </c>
      <c r="J3" t="s">
        <v>39</v>
      </c>
      <c r="K3" t="s">
        <v>40</v>
      </c>
      <c r="L3">
        <v>53711</v>
      </c>
      <c r="M3" t="s">
        <v>41</v>
      </c>
      <c r="N3" t="s">
        <v>42</v>
      </c>
      <c r="O3" t="s">
        <v>43</v>
      </c>
      <c r="P3" t="s">
        <v>44</v>
      </c>
      <c r="Q3" t="s">
        <v>45</v>
      </c>
      <c r="R3">
        <v>98</v>
      </c>
      <c r="S3">
        <v>7</v>
      </c>
      <c r="T3">
        <v>0</v>
      </c>
      <c r="U3">
        <v>38.020000000000003</v>
      </c>
    </row>
    <row r="4" spans="1:21" x14ac:dyDescent="0.35">
      <c r="A4">
        <v>3</v>
      </c>
      <c r="B4" t="s">
        <v>34</v>
      </c>
      <c r="C4" s="1">
        <v>45638</v>
      </c>
      <c r="D4" s="1">
        <v>45640</v>
      </c>
      <c r="E4" t="s">
        <v>22</v>
      </c>
      <c r="F4" t="s">
        <v>36</v>
      </c>
      <c r="G4" t="s">
        <v>37</v>
      </c>
      <c r="H4" t="s">
        <v>38</v>
      </c>
      <c r="I4" t="s">
        <v>26</v>
      </c>
      <c r="J4" t="s">
        <v>39</v>
      </c>
      <c r="K4" t="s">
        <v>40</v>
      </c>
      <c r="L4">
        <v>53711</v>
      </c>
      <c r="M4" t="s">
        <v>41</v>
      </c>
      <c r="N4" t="s">
        <v>46</v>
      </c>
      <c r="O4" t="s">
        <v>47</v>
      </c>
      <c r="P4" t="s">
        <v>48</v>
      </c>
      <c r="Q4" t="s">
        <v>49</v>
      </c>
      <c r="R4">
        <v>224</v>
      </c>
      <c r="S4">
        <v>7</v>
      </c>
      <c r="T4">
        <v>0</v>
      </c>
      <c r="U4">
        <v>50.9</v>
      </c>
    </row>
    <row r="5" spans="1:21" x14ac:dyDescent="0.35">
      <c r="A5">
        <v>4</v>
      </c>
      <c r="B5" t="s">
        <v>34</v>
      </c>
      <c r="C5" s="1">
        <v>45638</v>
      </c>
      <c r="D5" s="1">
        <v>45640</v>
      </c>
      <c r="E5" t="s">
        <v>50</v>
      </c>
      <c r="F5" t="s">
        <v>36</v>
      </c>
      <c r="G5" t="s">
        <v>37</v>
      </c>
      <c r="H5" t="s">
        <v>38</v>
      </c>
      <c r="I5" t="s">
        <v>26</v>
      </c>
      <c r="J5" t="s">
        <v>39</v>
      </c>
      <c r="K5" t="s">
        <v>40</v>
      </c>
      <c r="L5">
        <v>53711</v>
      </c>
      <c r="M5" t="s">
        <v>41</v>
      </c>
      <c r="N5" t="s">
        <v>51</v>
      </c>
      <c r="O5" t="s">
        <v>43</v>
      </c>
      <c r="P5" t="s">
        <v>52</v>
      </c>
      <c r="Q5" t="s">
        <v>53</v>
      </c>
      <c r="R5">
        <v>36</v>
      </c>
      <c r="S5">
        <v>5</v>
      </c>
      <c r="T5">
        <v>0.1</v>
      </c>
      <c r="U5">
        <v>7.22</v>
      </c>
    </row>
    <row r="6" spans="1:21" x14ac:dyDescent="0.35">
      <c r="A6">
        <v>5</v>
      </c>
      <c r="B6" t="s">
        <v>54</v>
      </c>
      <c r="C6" s="1">
        <v>45420</v>
      </c>
      <c r="D6" s="1">
        <v>45421</v>
      </c>
      <c r="E6" t="s">
        <v>22</v>
      </c>
      <c r="F6" t="s">
        <v>55</v>
      </c>
      <c r="G6" t="s">
        <v>56</v>
      </c>
      <c r="H6" t="s">
        <v>38</v>
      </c>
      <c r="I6" t="s">
        <v>26</v>
      </c>
      <c r="J6" t="s">
        <v>57</v>
      </c>
      <c r="K6" t="s">
        <v>58</v>
      </c>
      <c r="L6">
        <v>10009</v>
      </c>
      <c r="M6" t="s">
        <v>29</v>
      </c>
      <c r="N6" t="s">
        <v>46</v>
      </c>
      <c r="O6" t="s">
        <v>47</v>
      </c>
      <c r="P6" t="s">
        <v>48</v>
      </c>
      <c r="Q6" t="s">
        <v>49</v>
      </c>
      <c r="R6">
        <v>179.2</v>
      </c>
      <c r="S6">
        <v>7</v>
      </c>
      <c r="T6">
        <v>0.2</v>
      </c>
      <c r="U6">
        <v>16.63</v>
      </c>
    </row>
    <row r="7" spans="1:21" x14ac:dyDescent="0.35">
      <c r="A7">
        <v>6</v>
      </c>
      <c r="B7" t="s">
        <v>59</v>
      </c>
      <c r="C7" s="1">
        <v>45361</v>
      </c>
      <c r="D7" s="1">
        <v>45362</v>
      </c>
      <c r="E7" t="s">
        <v>22</v>
      </c>
      <c r="F7" t="s">
        <v>60</v>
      </c>
      <c r="G7" t="s">
        <v>61</v>
      </c>
      <c r="H7" t="s">
        <v>62</v>
      </c>
      <c r="I7" t="s">
        <v>26</v>
      </c>
      <c r="J7" t="s">
        <v>63</v>
      </c>
      <c r="K7" t="s">
        <v>64</v>
      </c>
      <c r="L7">
        <v>37211</v>
      </c>
      <c r="M7" t="s">
        <v>65</v>
      </c>
      <c r="N7" t="s">
        <v>66</v>
      </c>
      <c r="O7" t="s">
        <v>47</v>
      </c>
      <c r="P7" t="s">
        <v>67</v>
      </c>
      <c r="Q7" t="s">
        <v>68</v>
      </c>
      <c r="R7">
        <v>297</v>
      </c>
      <c r="S7">
        <v>1</v>
      </c>
      <c r="T7">
        <v>0.1</v>
      </c>
      <c r="U7">
        <v>30.88</v>
      </c>
    </row>
    <row r="8" spans="1:21" x14ac:dyDescent="0.35">
      <c r="A8">
        <v>7</v>
      </c>
      <c r="B8" t="s">
        <v>59</v>
      </c>
      <c r="C8" s="1">
        <v>45361</v>
      </c>
      <c r="D8" s="1">
        <v>45362</v>
      </c>
      <c r="E8" t="s">
        <v>50</v>
      </c>
      <c r="F8" t="s">
        <v>60</v>
      </c>
      <c r="G8" t="s">
        <v>61</v>
      </c>
      <c r="H8" t="s">
        <v>62</v>
      </c>
      <c r="I8" t="s">
        <v>26</v>
      </c>
      <c r="J8" t="s">
        <v>63</v>
      </c>
      <c r="K8" t="s">
        <v>64</v>
      </c>
      <c r="L8">
        <v>37211</v>
      </c>
      <c r="M8" t="s">
        <v>65</v>
      </c>
      <c r="N8" t="s">
        <v>69</v>
      </c>
      <c r="O8" t="s">
        <v>43</v>
      </c>
      <c r="P8" t="s">
        <v>70</v>
      </c>
      <c r="Q8" t="s">
        <v>71</v>
      </c>
      <c r="R8">
        <v>225</v>
      </c>
      <c r="S8">
        <v>5</v>
      </c>
      <c r="T8">
        <v>0</v>
      </c>
      <c r="U8">
        <v>33.090000000000003</v>
      </c>
    </row>
    <row r="9" spans="1:21" x14ac:dyDescent="0.35">
      <c r="A9">
        <v>8</v>
      </c>
      <c r="B9" t="s">
        <v>72</v>
      </c>
      <c r="C9" s="1">
        <v>45700</v>
      </c>
      <c r="D9" s="1">
        <v>45706</v>
      </c>
      <c r="E9" t="s">
        <v>50</v>
      </c>
      <c r="F9" t="s">
        <v>73</v>
      </c>
      <c r="G9" t="s">
        <v>74</v>
      </c>
      <c r="H9" t="s">
        <v>38</v>
      </c>
      <c r="I9" t="s">
        <v>26</v>
      </c>
      <c r="J9" t="s">
        <v>75</v>
      </c>
      <c r="K9" t="s">
        <v>76</v>
      </c>
      <c r="L9">
        <v>2110</v>
      </c>
      <c r="M9" t="s">
        <v>29</v>
      </c>
      <c r="N9" t="s">
        <v>46</v>
      </c>
      <c r="O9" t="s">
        <v>47</v>
      </c>
      <c r="P9" t="s">
        <v>48</v>
      </c>
      <c r="Q9" t="s">
        <v>49</v>
      </c>
      <c r="R9">
        <v>96</v>
      </c>
      <c r="S9">
        <v>3</v>
      </c>
      <c r="T9">
        <v>0</v>
      </c>
      <c r="U9">
        <v>19.48</v>
      </c>
    </row>
    <row r="10" spans="1:21" x14ac:dyDescent="0.35">
      <c r="A10">
        <v>9</v>
      </c>
      <c r="B10" t="s">
        <v>72</v>
      </c>
      <c r="C10" s="1">
        <v>45700</v>
      </c>
      <c r="D10" s="1">
        <v>45706</v>
      </c>
      <c r="E10" t="s">
        <v>35</v>
      </c>
      <c r="F10" t="s">
        <v>73</v>
      </c>
      <c r="G10" t="s">
        <v>74</v>
      </c>
      <c r="H10" t="s">
        <v>38</v>
      </c>
      <c r="I10" t="s">
        <v>26</v>
      </c>
      <c r="J10" t="s">
        <v>75</v>
      </c>
      <c r="K10" t="s">
        <v>76</v>
      </c>
      <c r="L10">
        <v>2110</v>
      </c>
      <c r="M10" t="s">
        <v>29</v>
      </c>
      <c r="N10" t="s">
        <v>30</v>
      </c>
      <c r="O10" t="s">
        <v>31</v>
      </c>
      <c r="P10" t="s">
        <v>32</v>
      </c>
      <c r="Q10" t="s">
        <v>33</v>
      </c>
      <c r="R10">
        <v>460</v>
      </c>
      <c r="S10">
        <v>2</v>
      </c>
      <c r="T10">
        <v>0</v>
      </c>
      <c r="U10">
        <v>56.84</v>
      </c>
    </row>
    <row r="11" spans="1:21" x14ac:dyDescent="0.35">
      <c r="A11">
        <v>10</v>
      </c>
      <c r="B11" t="s">
        <v>72</v>
      </c>
      <c r="C11" s="1">
        <v>45700</v>
      </c>
      <c r="D11" s="1">
        <v>45706</v>
      </c>
      <c r="E11" t="s">
        <v>35</v>
      </c>
      <c r="F11" t="s">
        <v>73</v>
      </c>
      <c r="G11" t="s">
        <v>74</v>
      </c>
      <c r="H11" t="s">
        <v>38</v>
      </c>
      <c r="I11" t="s">
        <v>26</v>
      </c>
      <c r="J11" t="s">
        <v>75</v>
      </c>
      <c r="K11" t="s">
        <v>76</v>
      </c>
      <c r="L11">
        <v>2110</v>
      </c>
      <c r="M11" t="s">
        <v>29</v>
      </c>
      <c r="N11" t="s">
        <v>77</v>
      </c>
      <c r="O11" t="s">
        <v>31</v>
      </c>
      <c r="P11" t="s">
        <v>78</v>
      </c>
      <c r="Q11" t="s">
        <v>79</v>
      </c>
      <c r="R11">
        <v>672</v>
      </c>
      <c r="S11">
        <v>2</v>
      </c>
      <c r="T11">
        <v>0.2</v>
      </c>
      <c r="U11">
        <v>-114.09</v>
      </c>
    </row>
    <row r="12" spans="1:21" x14ac:dyDescent="0.35">
      <c r="A12">
        <v>11</v>
      </c>
      <c r="B12" t="s">
        <v>80</v>
      </c>
      <c r="C12" s="1">
        <v>46014</v>
      </c>
      <c r="D12" s="1">
        <v>46019</v>
      </c>
      <c r="E12" t="s">
        <v>22</v>
      </c>
      <c r="F12" t="s">
        <v>81</v>
      </c>
      <c r="G12" t="s">
        <v>82</v>
      </c>
      <c r="H12" t="s">
        <v>25</v>
      </c>
      <c r="I12" t="s">
        <v>26</v>
      </c>
      <c r="J12" t="s">
        <v>83</v>
      </c>
      <c r="K12" t="s">
        <v>84</v>
      </c>
      <c r="L12">
        <v>98103</v>
      </c>
      <c r="M12" t="s">
        <v>85</v>
      </c>
      <c r="N12" t="s">
        <v>66</v>
      </c>
      <c r="O12" t="s">
        <v>47</v>
      </c>
      <c r="P12" t="s">
        <v>67</v>
      </c>
      <c r="Q12" t="s">
        <v>68</v>
      </c>
      <c r="R12">
        <v>792</v>
      </c>
      <c r="S12">
        <v>3</v>
      </c>
      <c r="T12">
        <v>0.2</v>
      </c>
      <c r="U12">
        <v>40.61</v>
      </c>
    </row>
    <row r="13" spans="1:21" x14ac:dyDescent="0.35">
      <c r="A13">
        <v>12</v>
      </c>
      <c r="B13" t="s">
        <v>86</v>
      </c>
      <c r="C13" s="1">
        <v>46188</v>
      </c>
      <c r="D13" s="1">
        <v>46193</v>
      </c>
      <c r="E13" t="s">
        <v>50</v>
      </c>
      <c r="F13" t="s">
        <v>87</v>
      </c>
      <c r="G13" t="s">
        <v>88</v>
      </c>
      <c r="H13" t="s">
        <v>62</v>
      </c>
      <c r="I13" t="s">
        <v>26</v>
      </c>
      <c r="J13" t="s">
        <v>89</v>
      </c>
      <c r="K13" t="s">
        <v>90</v>
      </c>
      <c r="L13">
        <v>90036</v>
      </c>
      <c r="M13" t="s">
        <v>85</v>
      </c>
      <c r="N13" t="s">
        <v>46</v>
      </c>
      <c r="O13" t="s">
        <v>47</v>
      </c>
      <c r="P13" t="s">
        <v>48</v>
      </c>
      <c r="Q13" t="s">
        <v>49</v>
      </c>
      <c r="R13">
        <v>28.8</v>
      </c>
      <c r="S13">
        <v>1</v>
      </c>
      <c r="T13">
        <v>0.1</v>
      </c>
      <c r="U13">
        <v>5.19</v>
      </c>
    </row>
    <row r="14" spans="1:21" x14ac:dyDescent="0.35">
      <c r="A14">
        <v>13</v>
      </c>
      <c r="B14" t="s">
        <v>91</v>
      </c>
      <c r="C14" s="1">
        <v>45511</v>
      </c>
      <c r="D14" s="1">
        <v>45513</v>
      </c>
      <c r="E14" t="s">
        <v>35</v>
      </c>
      <c r="F14" t="s">
        <v>92</v>
      </c>
      <c r="G14" t="s">
        <v>93</v>
      </c>
      <c r="H14" t="s">
        <v>38</v>
      </c>
      <c r="I14" t="s">
        <v>26</v>
      </c>
      <c r="J14" t="s">
        <v>75</v>
      </c>
      <c r="K14" t="s">
        <v>76</v>
      </c>
      <c r="L14">
        <v>2110</v>
      </c>
      <c r="M14" t="s">
        <v>29</v>
      </c>
      <c r="N14" t="s">
        <v>77</v>
      </c>
      <c r="O14" t="s">
        <v>31</v>
      </c>
      <c r="P14" t="s">
        <v>78</v>
      </c>
      <c r="Q14" t="s">
        <v>79</v>
      </c>
      <c r="R14">
        <v>1680</v>
      </c>
      <c r="S14">
        <v>5</v>
      </c>
      <c r="T14">
        <v>0.2</v>
      </c>
      <c r="U14">
        <v>-287.14</v>
      </c>
    </row>
    <row r="15" spans="1:21" x14ac:dyDescent="0.35">
      <c r="A15">
        <v>14</v>
      </c>
      <c r="B15" t="s">
        <v>91</v>
      </c>
      <c r="C15" s="1">
        <v>45511</v>
      </c>
      <c r="D15" s="1">
        <v>45513</v>
      </c>
      <c r="E15" t="s">
        <v>94</v>
      </c>
      <c r="F15" t="s">
        <v>92</v>
      </c>
      <c r="G15" t="s">
        <v>93</v>
      </c>
      <c r="H15" t="s">
        <v>38</v>
      </c>
      <c r="I15" t="s">
        <v>26</v>
      </c>
      <c r="J15" t="s">
        <v>75</v>
      </c>
      <c r="K15" t="s">
        <v>76</v>
      </c>
      <c r="L15">
        <v>2110</v>
      </c>
      <c r="M15" t="s">
        <v>29</v>
      </c>
      <c r="N15" t="s">
        <v>95</v>
      </c>
      <c r="O15" t="s">
        <v>47</v>
      </c>
      <c r="P15" t="s">
        <v>48</v>
      </c>
      <c r="Q15" t="s">
        <v>96</v>
      </c>
      <c r="R15">
        <v>61.6</v>
      </c>
      <c r="S15">
        <v>4</v>
      </c>
      <c r="T15">
        <v>0.3</v>
      </c>
      <c r="U15">
        <v>6.09</v>
      </c>
    </row>
    <row r="16" spans="1:21" x14ac:dyDescent="0.35">
      <c r="A16">
        <v>15</v>
      </c>
      <c r="B16" t="s">
        <v>91</v>
      </c>
      <c r="C16" s="1">
        <v>45511</v>
      </c>
      <c r="D16" s="1">
        <v>45513</v>
      </c>
      <c r="E16" t="s">
        <v>94</v>
      </c>
      <c r="F16" t="s">
        <v>92</v>
      </c>
      <c r="G16" t="s">
        <v>93</v>
      </c>
      <c r="H16" t="s">
        <v>38</v>
      </c>
      <c r="I16" t="s">
        <v>26</v>
      </c>
      <c r="J16" t="s">
        <v>75</v>
      </c>
      <c r="K16" t="s">
        <v>76</v>
      </c>
      <c r="L16">
        <v>2110</v>
      </c>
      <c r="M16" t="s">
        <v>29</v>
      </c>
      <c r="N16" t="s">
        <v>97</v>
      </c>
      <c r="O16" t="s">
        <v>31</v>
      </c>
      <c r="P16" t="s">
        <v>98</v>
      </c>
      <c r="Q16" t="s">
        <v>99</v>
      </c>
      <c r="R16">
        <v>260</v>
      </c>
      <c r="S16">
        <v>1</v>
      </c>
      <c r="T16">
        <v>0</v>
      </c>
      <c r="U16">
        <v>24.62</v>
      </c>
    </row>
    <row r="17" spans="1:21" x14ac:dyDescent="0.35">
      <c r="A17">
        <v>16</v>
      </c>
      <c r="B17" t="s">
        <v>91</v>
      </c>
      <c r="C17" s="1">
        <v>45511</v>
      </c>
      <c r="D17" s="1">
        <v>45513</v>
      </c>
      <c r="E17" t="s">
        <v>50</v>
      </c>
      <c r="F17" t="s">
        <v>92</v>
      </c>
      <c r="G17" t="s">
        <v>93</v>
      </c>
      <c r="H17" t="s">
        <v>38</v>
      </c>
      <c r="I17" t="s">
        <v>26</v>
      </c>
      <c r="J17" t="s">
        <v>75</v>
      </c>
      <c r="K17" t="s">
        <v>76</v>
      </c>
      <c r="L17">
        <v>2110</v>
      </c>
      <c r="M17" t="s">
        <v>29</v>
      </c>
      <c r="N17" t="s">
        <v>42</v>
      </c>
      <c r="O17" t="s">
        <v>43</v>
      </c>
      <c r="P17" t="s">
        <v>44</v>
      </c>
      <c r="Q17" t="s">
        <v>45</v>
      </c>
      <c r="R17">
        <v>37.799999999999997</v>
      </c>
      <c r="S17">
        <v>3</v>
      </c>
      <c r="T17">
        <v>0.1</v>
      </c>
      <c r="U17">
        <v>12.73</v>
      </c>
    </row>
    <row r="18" spans="1:21" x14ac:dyDescent="0.35">
      <c r="A18">
        <v>17</v>
      </c>
      <c r="B18" t="s">
        <v>100</v>
      </c>
      <c r="C18" s="1">
        <v>45793</v>
      </c>
      <c r="D18" s="1">
        <v>45798</v>
      </c>
      <c r="E18" t="s">
        <v>22</v>
      </c>
      <c r="F18" t="s">
        <v>101</v>
      </c>
      <c r="G18" t="s">
        <v>102</v>
      </c>
      <c r="H18" t="s">
        <v>62</v>
      </c>
      <c r="I18" t="s">
        <v>26</v>
      </c>
      <c r="J18" t="s">
        <v>63</v>
      </c>
      <c r="K18" t="s">
        <v>64</v>
      </c>
      <c r="L18">
        <v>37211</v>
      </c>
      <c r="M18" t="s">
        <v>65</v>
      </c>
      <c r="N18" t="s">
        <v>103</v>
      </c>
      <c r="O18" t="s">
        <v>47</v>
      </c>
      <c r="P18" t="s">
        <v>104</v>
      </c>
      <c r="Q18" t="s">
        <v>105</v>
      </c>
      <c r="R18">
        <v>4450</v>
      </c>
      <c r="S18">
        <v>5</v>
      </c>
      <c r="T18">
        <v>0</v>
      </c>
      <c r="U18">
        <v>891.84</v>
      </c>
    </row>
    <row r="19" spans="1:21" x14ac:dyDescent="0.35">
      <c r="A19">
        <v>18</v>
      </c>
      <c r="B19" t="s">
        <v>100</v>
      </c>
      <c r="C19" s="1">
        <v>45793</v>
      </c>
      <c r="D19" s="1">
        <v>45798</v>
      </c>
      <c r="E19" t="s">
        <v>35</v>
      </c>
      <c r="F19" t="s">
        <v>101</v>
      </c>
      <c r="G19" t="s">
        <v>102</v>
      </c>
      <c r="H19" t="s">
        <v>62</v>
      </c>
      <c r="I19" t="s">
        <v>26</v>
      </c>
      <c r="J19" t="s">
        <v>63</v>
      </c>
      <c r="K19" t="s">
        <v>64</v>
      </c>
      <c r="L19">
        <v>37211</v>
      </c>
      <c r="M19" t="s">
        <v>65</v>
      </c>
      <c r="N19" t="s">
        <v>106</v>
      </c>
      <c r="O19" t="s">
        <v>43</v>
      </c>
      <c r="P19" t="s">
        <v>107</v>
      </c>
      <c r="Q19" t="s">
        <v>108</v>
      </c>
      <c r="R19">
        <v>12.6</v>
      </c>
      <c r="S19">
        <v>2</v>
      </c>
      <c r="T19">
        <v>0.3</v>
      </c>
      <c r="U19">
        <v>3.32</v>
      </c>
    </row>
    <row r="20" spans="1:21" x14ac:dyDescent="0.35">
      <c r="A20">
        <v>19</v>
      </c>
      <c r="B20" t="s">
        <v>100</v>
      </c>
      <c r="C20" s="1">
        <v>45793</v>
      </c>
      <c r="D20" s="1">
        <v>45798</v>
      </c>
      <c r="E20" t="s">
        <v>35</v>
      </c>
      <c r="F20" t="s">
        <v>101</v>
      </c>
      <c r="G20" t="s">
        <v>102</v>
      </c>
      <c r="H20" t="s">
        <v>62</v>
      </c>
      <c r="I20" t="s">
        <v>26</v>
      </c>
      <c r="J20" t="s">
        <v>63</v>
      </c>
      <c r="K20" t="s">
        <v>64</v>
      </c>
      <c r="L20">
        <v>37211</v>
      </c>
      <c r="M20" t="s">
        <v>65</v>
      </c>
      <c r="N20" t="s">
        <v>109</v>
      </c>
      <c r="O20" t="s">
        <v>31</v>
      </c>
      <c r="P20" t="s">
        <v>110</v>
      </c>
      <c r="Q20" t="s">
        <v>111</v>
      </c>
      <c r="R20">
        <v>50</v>
      </c>
      <c r="S20">
        <v>2</v>
      </c>
      <c r="T20">
        <v>0</v>
      </c>
      <c r="U20">
        <v>12.21</v>
      </c>
    </row>
    <row r="21" spans="1:21" x14ac:dyDescent="0.35">
      <c r="A21">
        <v>20</v>
      </c>
      <c r="B21" t="s">
        <v>100</v>
      </c>
      <c r="C21" s="1">
        <v>45793</v>
      </c>
      <c r="D21" s="1">
        <v>45798</v>
      </c>
      <c r="E21" t="s">
        <v>50</v>
      </c>
      <c r="F21" t="s">
        <v>101</v>
      </c>
      <c r="G21" t="s">
        <v>102</v>
      </c>
      <c r="H21" t="s">
        <v>62</v>
      </c>
      <c r="I21" t="s">
        <v>26</v>
      </c>
      <c r="J21" t="s">
        <v>63</v>
      </c>
      <c r="K21" t="s">
        <v>64</v>
      </c>
      <c r="L21">
        <v>37211</v>
      </c>
      <c r="M21" t="s">
        <v>65</v>
      </c>
      <c r="N21" t="s">
        <v>51</v>
      </c>
      <c r="O21" t="s">
        <v>43</v>
      </c>
      <c r="P21" t="s">
        <v>52</v>
      </c>
      <c r="Q21" t="s">
        <v>53</v>
      </c>
      <c r="R21">
        <v>36</v>
      </c>
      <c r="S21">
        <v>5</v>
      </c>
      <c r="T21">
        <v>0.1</v>
      </c>
      <c r="U21">
        <v>6.36</v>
      </c>
    </row>
    <row r="22" spans="1:21" x14ac:dyDescent="0.35">
      <c r="A22">
        <v>21</v>
      </c>
      <c r="B22" t="s">
        <v>112</v>
      </c>
      <c r="C22" s="1">
        <v>46227</v>
      </c>
      <c r="D22" s="1">
        <v>46233</v>
      </c>
      <c r="E22" t="s">
        <v>50</v>
      </c>
      <c r="F22" t="s">
        <v>36</v>
      </c>
      <c r="G22" t="s">
        <v>37</v>
      </c>
      <c r="H22" t="s">
        <v>38</v>
      </c>
      <c r="I22" t="s">
        <v>26</v>
      </c>
      <c r="J22" t="s">
        <v>39</v>
      </c>
      <c r="K22" t="s">
        <v>40</v>
      </c>
      <c r="L22">
        <v>53711</v>
      </c>
      <c r="M22" t="s">
        <v>41</v>
      </c>
      <c r="N22" t="s">
        <v>97</v>
      </c>
      <c r="O22" t="s">
        <v>31</v>
      </c>
      <c r="P22" t="s">
        <v>98</v>
      </c>
      <c r="Q22" t="s">
        <v>99</v>
      </c>
      <c r="R22">
        <v>780</v>
      </c>
      <c r="S22">
        <v>3</v>
      </c>
      <c r="T22">
        <v>0</v>
      </c>
      <c r="U22">
        <v>78.64</v>
      </c>
    </row>
    <row r="23" spans="1:21" x14ac:dyDescent="0.35">
      <c r="A23">
        <v>22</v>
      </c>
      <c r="B23" t="s">
        <v>112</v>
      </c>
      <c r="C23" s="1">
        <v>46227</v>
      </c>
      <c r="D23" s="1">
        <v>46233</v>
      </c>
      <c r="E23" t="s">
        <v>22</v>
      </c>
      <c r="F23" t="s">
        <v>36</v>
      </c>
      <c r="G23" t="s">
        <v>37</v>
      </c>
      <c r="H23" t="s">
        <v>38</v>
      </c>
      <c r="I23" t="s">
        <v>26</v>
      </c>
      <c r="J23" t="s">
        <v>39</v>
      </c>
      <c r="K23" t="s">
        <v>40</v>
      </c>
      <c r="L23">
        <v>53711</v>
      </c>
      <c r="M23" t="s">
        <v>41</v>
      </c>
      <c r="N23" t="s">
        <v>113</v>
      </c>
      <c r="O23" t="s">
        <v>43</v>
      </c>
      <c r="P23" t="s">
        <v>114</v>
      </c>
      <c r="Q23" t="s">
        <v>115</v>
      </c>
      <c r="R23">
        <v>11</v>
      </c>
      <c r="S23">
        <v>1</v>
      </c>
      <c r="T23">
        <v>0</v>
      </c>
      <c r="U23">
        <v>3.32</v>
      </c>
    </row>
    <row r="24" spans="1:21" x14ac:dyDescent="0.35">
      <c r="A24">
        <v>23</v>
      </c>
      <c r="B24" t="s">
        <v>116</v>
      </c>
      <c r="C24" s="1">
        <v>45730</v>
      </c>
      <c r="D24" s="1">
        <v>45733</v>
      </c>
      <c r="E24" t="s">
        <v>94</v>
      </c>
      <c r="F24" t="s">
        <v>117</v>
      </c>
      <c r="G24" t="s">
        <v>118</v>
      </c>
      <c r="H24" t="s">
        <v>25</v>
      </c>
      <c r="I24" t="s">
        <v>26</v>
      </c>
      <c r="J24" t="s">
        <v>119</v>
      </c>
      <c r="K24" t="s">
        <v>120</v>
      </c>
      <c r="L24">
        <v>97206</v>
      </c>
      <c r="M24" t="s">
        <v>85</v>
      </c>
      <c r="N24" t="s">
        <v>121</v>
      </c>
      <c r="O24" t="s">
        <v>47</v>
      </c>
      <c r="P24" t="s">
        <v>122</v>
      </c>
      <c r="Q24" t="s">
        <v>123</v>
      </c>
      <c r="R24">
        <v>1944</v>
      </c>
      <c r="S24">
        <v>4</v>
      </c>
      <c r="T24">
        <v>0.1</v>
      </c>
      <c r="U24">
        <v>252.88</v>
      </c>
    </row>
    <row r="25" spans="1:21" x14ac:dyDescent="0.35">
      <c r="A25">
        <v>24</v>
      </c>
      <c r="B25" t="s">
        <v>116</v>
      </c>
      <c r="C25" s="1">
        <v>45730</v>
      </c>
      <c r="D25" s="1">
        <v>45733</v>
      </c>
      <c r="E25" t="s">
        <v>22</v>
      </c>
      <c r="F25" t="s">
        <v>117</v>
      </c>
      <c r="G25" t="s">
        <v>118</v>
      </c>
      <c r="H25" t="s">
        <v>25</v>
      </c>
      <c r="I25" t="s">
        <v>26</v>
      </c>
      <c r="J25" t="s">
        <v>119</v>
      </c>
      <c r="K25" t="s">
        <v>120</v>
      </c>
      <c r="L25">
        <v>97206</v>
      </c>
      <c r="M25" t="s">
        <v>85</v>
      </c>
      <c r="N25" t="s">
        <v>46</v>
      </c>
      <c r="O25" t="s">
        <v>47</v>
      </c>
      <c r="P25" t="s">
        <v>48</v>
      </c>
      <c r="Q25" t="s">
        <v>49</v>
      </c>
      <c r="R25">
        <v>192</v>
      </c>
      <c r="S25">
        <v>6</v>
      </c>
      <c r="T25">
        <v>0</v>
      </c>
      <c r="U25">
        <v>41.77</v>
      </c>
    </row>
    <row r="26" spans="1:21" x14ac:dyDescent="0.35">
      <c r="A26">
        <v>25</v>
      </c>
      <c r="B26" t="s">
        <v>124</v>
      </c>
      <c r="C26" s="1">
        <v>45994</v>
      </c>
      <c r="D26" s="1">
        <v>46000</v>
      </c>
      <c r="E26" t="s">
        <v>94</v>
      </c>
      <c r="F26" t="s">
        <v>101</v>
      </c>
      <c r="G26" t="s">
        <v>102</v>
      </c>
      <c r="H26" t="s">
        <v>62</v>
      </c>
      <c r="I26" t="s">
        <v>26</v>
      </c>
      <c r="J26" t="s">
        <v>63</v>
      </c>
      <c r="K26" t="s">
        <v>64</v>
      </c>
      <c r="L26">
        <v>37211</v>
      </c>
      <c r="M26" t="s">
        <v>65</v>
      </c>
      <c r="N26" t="s">
        <v>125</v>
      </c>
      <c r="O26" t="s">
        <v>43</v>
      </c>
      <c r="P26" t="s">
        <v>126</v>
      </c>
      <c r="Q26" t="s">
        <v>127</v>
      </c>
      <c r="R26">
        <v>576</v>
      </c>
      <c r="S26">
        <v>6</v>
      </c>
      <c r="T26">
        <v>0.2</v>
      </c>
      <c r="U26">
        <v>35.979999999999997</v>
      </c>
    </row>
    <row r="27" spans="1:21" x14ac:dyDescent="0.35">
      <c r="A27">
        <v>26</v>
      </c>
      <c r="B27" t="s">
        <v>128</v>
      </c>
      <c r="C27" s="1">
        <v>45365</v>
      </c>
      <c r="D27" s="1">
        <v>45371</v>
      </c>
      <c r="E27" t="s">
        <v>94</v>
      </c>
      <c r="F27" t="s">
        <v>129</v>
      </c>
      <c r="G27" t="s">
        <v>130</v>
      </c>
      <c r="H27" t="s">
        <v>62</v>
      </c>
      <c r="I27" t="s">
        <v>26</v>
      </c>
      <c r="J27" t="s">
        <v>131</v>
      </c>
      <c r="K27" t="s">
        <v>90</v>
      </c>
      <c r="L27">
        <v>94122</v>
      </c>
      <c r="M27" t="s">
        <v>85</v>
      </c>
      <c r="N27" t="s">
        <v>95</v>
      </c>
      <c r="O27" t="s">
        <v>47</v>
      </c>
      <c r="P27" t="s">
        <v>48</v>
      </c>
      <c r="Q27" t="s">
        <v>96</v>
      </c>
      <c r="R27">
        <v>22</v>
      </c>
      <c r="S27">
        <v>2</v>
      </c>
      <c r="T27">
        <v>0.5</v>
      </c>
      <c r="U27">
        <v>-0.18</v>
      </c>
    </row>
    <row r="28" spans="1:21" x14ac:dyDescent="0.35">
      <c r="A28">
        <v>27</v>
      </c>
      <c r="B28" t="s">
        <v>132</v>
      </c>
      <c r="C28" s="1">
        <v>45667</v>
      </c>
      <c r="D28" s="1">
        <v>45671</v>
      </c>
      <c r="E28" t="s">
        <v>22</v>
      </c>
      <c r="F28" t="s">
        <v>133</v>
      </c>
      <c r="G28" t="s">
        <v>134</v>
      </c>
      <c r="H28" t="s">
        <v>62</v>
      </c>
      <c r="I28" t="s">
        <v>26</v>
      </c>
      <c r="J28" t="s">
        <v>135</v>
      </c>
      <c r="K28" t="s">
        <v>136</v>
      </c>
      <c r="L28">
        <v>19140</v>
      </c>
      <c r="M28" t="s">
        <v>29</v>
      </c>
      <c r="N28" t="s">
        <v>42</v>
      </c>
      <c r="O28" t="s">
        <v>43</v>
      </c>
      <c r="P28" t="s">
        <v>44</v>
      </c>
      <c r="Q28" t="s">
        <v>45</v>
      </c>
      <c r="R28">
        <v>70</v>
      </c>
      <c r="S28">
        <v>5</v>
      </c>
      <c r="T28">
        <v>0</v>
      </c>
      <c r="U28">
        <v>26.24</v>
      </c>
    </row>
    <row r="29" spans="1:21" x14ac:dyDescent="0.35">
      <c r="A29">
        <v>28</v>
      </c>
      <c r="B29" t="s">
        <v>132</v>
      </c>
      <c r="C29" s="1">
        <v>45667</v>
      </c>
      <c r="D29" s="1">
        <v>45671</v>
      </c>
      <c r="E29" t="s">
        <v>35</v>
      </c>
      <c r="F29" t="s">
        <v>133</v>
      </c>
      <c r="G29" t="s">
        <v>134</v>
      </c>
      <c r="H29" t="s">
        <v>62</v>
      </c>
      <c r="I29" t="s">
        <v>26</v>
      </c>
      <c r="J29" t="s">
        <v>135</v>
      </c>
      <c r="K29" t="s">
        <v>136</v>
      </c>
      <c r="L29">
        <v>19140</v>
      </c>
      <c r="M29" t="s">
        <v>29</v>
      </c>
      <c r="N29" t="s">
        <v>106</v>
      </c>
      <c r="O29" t="s">
        <v>43</v>
      </c>
      <c r="P29" t="s">
        <v>107</v>
      </c>
      <c r="Q29" t="s">
        <v>108</v>
      </c>
      <c r="R29">
        <v>27</v>
      </c>
      <c r="S29">
        <v>3</v>
      </c>
      <c r="T29">
        <v>0</v>
      </c>
      <c r="U29">
        <v>7.4</v>
      </c>
    </row>
    <row r="30" spans="1:21" x14ac:dyDescent="0.35">
      <c r="A30">
        <v>29</v>
      </c>
      <c r="B30" t="s">
        <v>137</v>
      </c>
      <c r="C30" s="1">
        <v>45805</v>
      </c>
      <c r="D30" s="1">
        <v>45811</v>
      </c>
      <c r="E30" t="s">
        <v>50</v>
      </c>
      <c r="F30" t="s">
        <v>23</v>
      </c>
      <c r="G30" t="s">
        <v>24</v>
      </c>
      <c r="H30" t="s">
        <v>25</v>
      </c>
      <c r="I30" t="s">
        <v>26</v>
      </c>
      <c r="J30" t="s">
        <v>27</v>
      </c>
      <c r="K30" t="s">
        <v>28</v>
      </c>
      <c r="M30" t="s">
        <v>29</v>
      </c>
      <c r="N30" t="s">
        <v>69</v>
      </c>
      <c r="O30" t="s">
        <v>43</v>
      </c>
      <c r="P30" t="s">
        <v>70</v>
      </c>
      <c r="Q30" t="s">
        <v>71</v>
      </c>
      <c r="R30">
        <v>270</v>
      </c>
      <c r="S30">
        <v>6</v>
      </c>
      <c r="T30">
        <v>0</v>
      </c>
      <c r="U30">
        <v>39.18</v>
      </c>
    </row>
    <row r="31" spans="1:21" x14ac:dyDescent="0.35">
      <c r="A31">
        <v>30</v>
      </c>
      <c r="B31" t="s">
        <v>138</v>
      </c>
      <c r="C31" s="1">
        <v>46204</v>
      </c>
      <c r="D31" s="1">
        <v>46208</v>
      </c>
      <c r="E31" t="s">
        <v>22</v>
      </c>
      <c r="F31" t="s">
        <v>139</v>
      </c>
      <c r="G31" t="s">
        <v>140</v>
      </c>
      <c r="H31" t="s">
        <v>25</v>
      </c>
      <c r="I31" t="s">
        <v>26</v>
      </c>
      <c r="J31" t="s">
        <v>39</v>
      </c>
      <c r="K31" t="s">
        <v>40</v>
      </c>
      <c r="L31">
        <v>53711</v>
      </c>
      <c r="M31" t="s">
        <v>41</v>
      </c>
      <c r="N31" t="s">
        <v>51</v>
      </c>
      <c r="O31" t="s">
        <v>43</v>
      </c>
      <c r="P31" t="s">
        <v>52</v>
      </c>
      <c r="Q31" t="s">
        <v>53</v>
      </c>
      <c r="R31">
        <v>11.2</v>
      </c>
      <c r="S31">
        <v>2</v>
      </c>
      <c r="T31">
        <v>0.3</v>
      </c>
      <c r="U31">
        <v>-0.92</v>
      </c>
    </row>
    <row r="32" spans="1:21" x14ac:dyDescent="0.35">
      <c r="A32">
        <v>31</v>
      </c>
      <c r="B32" t="s">
        <v>141</v>
      </c>
      <c r="C32" s="1">
        <v>45836</v>
      </c>
      <c r="D32" s="1">
        <v>45837</v>
      </c>
      <c r="E32" t="s">
        <v>22</v>
      </c>
      <c r="F32" t="s">
        <v>142</v>
      </c>
      <c r="G32" t="s">
        <v>143</v>
      </c>
      <c r="H32" t="s">
        <v>62</v>
      </c>
      <c r="I32" t="s">
        <v>26</v>
      </c>
      <c r="J32" t="s">
        <v>83</v>
      </c>
      <c r="K32" t="s">
        <v>84</v>
      </c>
      <c r="L32">
        <v>98103</v>
      </c>
      <c r="M32" t="s">
        <v>85</v>
      </c>
      <c r="N32" t="s">
        <v>66</v>
      </c>
      <c r="O32" t="s">
        <v>47</v>
      </c>
      <c r="P32" t="s">
        <v>67</v>
      </c>
      <c r="Q32" t="s">
        <v>68</v>
      </c>
      <c r="R32">
        <v>660</v>
      </c>
      <c r="S32">
        <v>4</v>
      </c>
      <c r="T32">
        <v>0.5</v>
      </c>
      <c r="U32">
        <v>-84.79</v>
      </c>
    </row>
    <row r="33" spans="1:21" x14ac:dyDescent="0.35">
      <c r="A33">
        <v>32</v>
      </c>
      <c r="B33" t="s">
        <v>141</v>
      </c>
      <c r="C33" s="1">
        <v>45836</v>
      </c>
      <c r="D33" s="1">
        <v>45837</v>
      </c>
      <c r="E33" t="s">
        <v>22</v>
      </c>
      <c r="F33" t="s">
        <v>142</v>
      </c>
      <c r="G33" t="s">
        <v>143</v>
      </c>
      <c r="H33" t="s">
        <v>62</v>
      </c>
      <c r="I33" t="s">
        <v>26</v>
      </c>
      <c r="J33" t="s">
        <v>83</v>
      </c>
      <c r="K33" t="s">
        <v>84</v>
      </c>
      <c r="L33">
        <v>98103</v>
      </c>
      <c r="M33" t="s">
        <v>85</v>
      </c>
      <c r="N33" t="s">
        <v>51</v>
      </c>
      <c r="O33" t="s">
        <v>43</v>
      </c>
      <c r="P33" t="s">
        <v>52</v>
      </c>
      <c r="Q33" t="s">
        <v>53</v>
      </c>
      <c r="R33">
        <v>56</v>
      </c>
      <c r="S33">
        <v>7</v>
      </c>
      <c r="T33">
        <v>0</v>
      </c>
      <c r="U33">
        <v>15.59</v>
      </c>
    </row>
    <row r="34" spans="1:21" x14ac:dyDescent="0.35">
      <c r="A34">
        <v>33</v>
      </c>
      <c r="B34" t="s">
        <v>141</v>
      </c>
      <c r="C34" s="1">
        <v>45836</v>
      </c>
      <c r="D34" s="1">
        <v>45837</v>
      </c>
      <c r="E34" t="s">
        <v>22</v>
      </c>
      <c r="F34" t="s">
        <v>142</v>
      </c>
      <c r="G34" t="s">
        <v>143</v>
      </c>
      <c r="H34" t="s">
        <v>62</v>
      </c>
      <c r="I34" t="s">
        <v>26</v>
      </c>
      <c r="J34" t="s">
        <v>83</v>
      </c>
      <c r="K34" t="s">
        <v>84</v>
      </c>
      <c r="L34">
        <v>98103</v>
      </c>
      <c r="M34" t="s">
        <v>85</v>
      </c>
      <c r="N34" t="s">
        <v>30</v>
      </c>
      <c r="O34" t="s">
        <v>31</v>
      </c>
      <c r="P34" t="s">
        <v>32</v>
      </c>
      <c r="Q34" t="s">
        <v>33</v>
      </c>
      <c r="R34">
        <v>736</v>
      </c>
      <c r="S34">
        <v>4</v>
      </c>
      <c r="T34">
        <v>0.2</v>
      </c>
      <c r="U34">
        <v>0.85</v>
      </c>
    </row>
    <row r="35" spans="1:21" x14ac:dyDescent="0.35">
      <c r="A35">
        <v>34</v>
      </c>
      <c r="B35" t="s">
        <v>144</v>
      </c>
      <c r="C35" s="1">
        <v>45597</v>
      </c>
      <c r="D35" s="1">
        <v>45602</v>
      </c>
      <c r="E35" t="s">
        <v>22</v>
      </c>
      <c r="F35" t="s">
        <v>60</v>
      </c>
      <c r="G35" t="s">
        <v>61</v>
      </c>
      <c r="H35" t="s">
        <v>62</v>
      </c>
      <c r="I35" t="s">
        <v>26</v>
      </c>
      <c r="J35" t="s">
        <v>63</v>
      </c>
      <c r="K35" t="s">
        <v>64</v>
      </c>
      <c r="L35">
        <v>37211</v>
      </c>
      <c r="M35" t="s">
        <v>65</v>
      </c>
      <c r="N35" t="s">
        <v>77</v>
      </c>
      <c r="O35" t="s">
        <v>31</v>
      </c>
      <c r="P35" t="s">
        <v>78</v>
      </c>
      <c r="Q35" t="s">
        <v>79</v>
      </c>
      <c r="R35">
        <v>2100</v>
      </c>
      <c r="S35">
        <v>5</v>
      </c>
      <c r="T35">
        <v>0</v>
      </c>
      <c r="U35">
        <v>-105.79</v>
      </c>
    </row>
    <row r="36" spans="1:21" x14ac:dyDescent="0.35">
      <c r="A36">
        <v>35</v>
      </c>
      <c r="B36" t="s">
        <v>144</v>
      </c>
      <c r="C36" s="1">
        <v>45597</v>
      </c>
      <c r="D36" s="1">
        <v>45602</v>
      </c>
      <c r="E36" t="s">
        <v>35</v>
      </c>
      <c r="F36" t="s">
        <v>60</v>
      </c>
      <c r="G36" t="s">
        <v>61</v>
      </c>
      <c r="H36" t="s">
        <v>62</v>
      </c>
      <c r="I36" t="s">
        <v>26</v>
      </c>
      <c r="J36" t="s">
        <v>63</v>
      </c>
      <c r="K36" t="s">
        <v>64</v>
      </c>
      <c r="L36">
        <v>37211</v>
      </c>
      <c r="M36" t="s">
        <v>65</v>
      </c>
      <c r="N36" t="s">
        <v>109</v>
      </c>
      <c r="O36" t="s">
        <v>31</v>
      </c>
      <c r="P36" t="s">
        <v>110</v>
      </c>
      <c r="Q36" t="s">
        <v>111</v>
      </c>
      <c r="R36">
        <v>100</v>
      </c>
      <c r="S36">
        <v>5</v>
      </c>
      <c r="T36">
        <v>0.2</v>
      </c>
      <c r="U36">
        <v>16</v>
      </c>
    </row>
    <row r="37" spans="1:21" x14ac:dyDescent="0.35">
      <c r="A37">
        <v>36</v>
      </c>
      <c r="B37" t="s">
        <v>144</v>
      </c>
      <c r="C37" s="1">
        <v>45597</v>
      </c>
      <c r="D37" s="1">
        <v>45602</v>
      </c>
      <c r="E37" t="s">
        <v>94</v>
      </c>
      <c r="F37" t="s">
        <v>60</v>
      </c>
      <c r="G37" t="s">
        <v>61</v>
      </c>
      <c r="H37" t="s">
        <v>62</v>
      </c>
      <c r="I37" t="s">
        <v>26</v>
      </c>
      <c r="J37" t="s">
        <v>63</v>
      </c>
      <c r="K37" t="s">
        <v>64</v>
      </c>
      <c r="L37">
        <v>37211</v>
      </c>
      <c r="M37" t="s">
        <v>65</v>
      </c>
      <c r="N37" t="s">
        <v>51</v>
      </c>
      <c r="O37" t="s">
        <v>43</v>
      </c>
      <c r="P37" t="s">
        <v>52</v>
      </c>
      <c r="Q37" t="s">
        <v>53</v>
      </c>
      <c r="R37">
        <v>38.4</v>
      </c>
      <c r="S37">
        <v>6</v>
      </c>
      <c r="T37">
        <v>0.2</v>
      </c>
      <c r="U37">
        <v>4.8499999999999996</v>
      </c>
    </row>
    <row r="38" spans="1:21" x14ac:dyDescent="0.35">
      <c r="A38">
        <v>37</v>
      </c>
      <c r="B38" t="s">
        <v>144</v>
      </c>
      <c r="C38" s="1">
        <v>45597</v>
      </c>
      <c r="D38" s="1">
        <v>45602</v>
      </c>
      <c r="E38" t="s">
        <v>50</v>
      </c>
      <c r="F38" t="s">
        <v>60</v>
      </c>
      <c r="G38" t="s">
        <v>61</v>
      </c>
      <c r="H38" t="s">
        <v>62</v>
      </c>
      <c r="I38" t="s">
        <v>26</v>
      </c>
      <c r="J38" t="s">
        <v>63</v>
      </c>
      <c r="K38" t="s">
        <v>64</v>
      </c>
      <c r="L38">
        <v>37211</v>
      </c>
      <c r="M38" t="s">
        <v>65</v>
      </c>
      <c r="N38" t="s">
        <v>121</v>
      </c>
      <c r="O38" t="s">
        <v>47</v>
      </c>
      <c r="P38" t="s">
        <v>122</v>
      </c>
      <c r="Q38" t="s">
        <v>123</v>
      </c>
      <c r="R38">
        <v>1080</v>
      </c>
      <c r="S38">
        <v>2</v>
      </c>
      <c r="T38">
        <v>0</v>
      </c>
      <c r="U38">
        <v>205.61</v>
      </c>
    </row>
    <row r="39" spans="1:21" x14ac:dyDescent="0.35">
      <c r="A39">
        <v>38</v>
      </c>
      <c r="B39" t="s">
        <v>145</v>
      </c>
      <c r="C39" s="1">
        <v>45846</v>
      </c>
      <c r="D39" s="1">
        <v>45851</v>
      </c>
      <c r="E39" t="s">
        <v>94</v>
      </c>
      <c r="F39" t="s">
        <v>81</v>
      </c>
      <c r="G39" t="s">
        <v>82</v>
      </c>
      <c r="H39" t="s">
        <v>25</v>
      </c>
      <c r="I39" t="s">
        <v>26</v>
      </c>
      <c r="J39" t="s">
        <v>83</v>
      </c>
      <c r="K39" t="s">
        <v>84</v>
      </c>
      <c r="L39">
        <v>98103</v>
      </c>
      <c r="M39" t="s">
        <v>85</v>
      </c>
      <c r="N39" t="s">
        <v>77</v>
      </c>
      <c r="O39" t="s">
        <v>31</v>
      </c>
      <c r="P39" t="s">
        <v>78</v>
      </c>
      <c r="Q39" t="s">
        <v>79</v>
      </c>
      <c r="R39">
        <v>840</v>
      </c>
      <c r="S39">
        <v>4</v>
      </c>
      <c r="T39">
        <v>0.5</v>
      </c>
      <c r="U39">
        <v>-294.77</v>
      </c>
    </row>
    <row r="40" spans="1:21" x14ac:dyDescent="0.35">
      <c r="A40">
        <v>39</v>
      </c>
      <c r="B40" t="s">
        <v>146</v>
      </c>
      <c r="C40" s="1">
        <v>45321</v>
      </c>
      <c r="D40" s="1">
        <v>45323</v>
      </c>
      <c r="E40" t="s">
        <v>22</v>
      </c>
      <c r="F40" t="s">
        <v>73</v>
      </c>
      <c r="G40" t="s">
        <v>74</v>
      </c>
      <c r="H40" t="s">
        <v>38</v>
      </c>
      <c r="I40" t="s">
        <v>26</v>
      </c>
      <c r="J40" t="s">
        <v>75</v>
      </c>
      <c r="K40" t="s">
        <v>76</v>
      </c>
      <c r="L40">
        <v>2110</v>
      </c>
      <c r="M40" t="s">
        <v>29</v>
      </c>
      <c r="N40" t="s">
        <v>125</v>
      </c>
      <c r="O40" t="s">
        <v>43</v>
      </c>
      <c r="P40" t="s">
        <v>126</v>
      </c>
      <c r="Q40" t="s">
        <v>127</v>
      </c>
      <c r="R40">
        <v>240</v>
      </c>
      <c r="S40">
        <v>2</v>
      </c>
      <c r="T40">
        <v>0</v>
      </c>
      <c r="U40">
        <v>41.77</v>
      </c>
    </row>
    <row r="41" spans="1:21" x14ac:dyDescent="0.35">
      <c r="A41">
        <v>40</v>
      </c>
      <c r="B41" t="s">
        <v>147</v>
      </c>
      <c r="C41" s="1">
        <v>45756</v>
      </c>
      <c r="D41" s="1">
        <v>45759</v>
      </c>
      <c r="E41" t="s">
        <v>94</v>
      </c>
      <c r="F41" t="s">
        <v>148</v>
      </c>
      <c r="G41" t="s">
        <v>149</v>
      </c>
      <c r="H41" t="s">
        <v>62</v>
      </c>
      <c r="I41" t="s">
        <v>26</v>
      </c>
      <c r="J41" t="s">
        <v>150</v>
      </c>
      <c r="K41" t="s">
        <v>151</v>
      </c>
      <c r="L41">
        <v>33311</v>
      </c>
      <c r="M41" t="s">
        <v>65</v>
      </c>
      <c r="N41" t="s">
        <v>106</v>
      </c>
      <c r="O41" t="s">
        <v>43</v>
      </c>
      <c r="P41" t="s">
        <v>107</v>
      </c>
      <c r="Q41" t="s">
        <v>108</v>
      </c>
      <c r="R41">
        <v>27</v>
      </c>
      <c r="S41">
        <v>3</v>
      </c>
      <c r="T41">
        <v>0</v>
      </c>
      <c r="U41">
        <v>8.7200000000000006</v>
      </c>
    </row>
    <row r="42" spans="1:21" x14ac:dyDescent="0.35">
      <c r="A42">
        <v>41</v>
      </c>
      <c r="B42" t="s">
        <v>147</v>
      </c>
      <c r="C42" s="1">
        <v>45756</v>
      </c>
      <c r="D42" s="1">
        <v>45759</v>
      </c>
      <c r="E42" t="s">
        <v>22</v>
      </c>
      <c r="F42" t="s">
        <v>148</v>
      </c>
      <c r="G42" t="s">
        <v>149</v>
      </c>
      <c r="H42" t="s">
        <v>62</v>
      </c>
      <c r="I42" t="s">
        <v>26</v>
      </c>
      <c r="J42" t="s">
        <v>150</v>
      </c>
      <c r="K42" t="s">
        <v>151</v>
      </c>
      <c r="L42">
        <v>33311</v>
      </c>
      <c r="M42" t="s">
        <v>65</v>
      </c>
      <c r="N42" t="s">
        <v>97</v>
      </c>
      <c r="O42" t="s">
        <v>31</v>
      </c>
      <c r="P42" t="s">
        <v>98</v>
      </c>
      <c r="Q42" t="s">
        <v>99</v>
      </c>
      <c r="R42">
        <v>234</v>
      </c>
      <c r="S42">
        <v>1</v>
      </c>
      <c r="T42">
        <v>0.1</v>
      </c>
      <c r="U42">
        <v>11.24</v>
      </c>
    </row>
    <row r="43" spans="1:21" x14ac:dyDescent="0.35">
      <c r="A43">
        <v>42</v>
      </c>
      <c r="B43" t="s">
        <v>147</v>
      </c>
      <c r="C43" s="1">
        <v>45756</v>
      </c>
      <c r="D43" s="1">
        <v>45759</v>
      </c>
      <c r="E43" t="s">
        <v>22</v>
      </c>
      <c r="F43" t="s">
        <v>148</v>
      </c>
      <c r="G43" t="s">
        <v>149</v>
      </c>
      <c r="H43" t="s">
        <v>62</v>
      </c>
      <c r="I43" t="s">
        <v>26</v>
      </c>
      <c r="J43" t="s">
        <v>150</v>
      </c>
      <c r="K43" t="s">
        <v>151</v>
      </c>
      <c r="L43">
        <v>33311</v>
      </c>
      <c r="M43" t="s">
        <v>65</v>
      </c>
      <c r="N43" t="s">
        <v>77</v>
      </c>
      <c r="O43" t="s">
        <v>31</v>
      </c>
      <c r="P43" t="s">
        <v>78</v>
      </c>
      <c r="Q43" t="s">
        <v>79</v>
      </c>
      <c r="R43">
        <v>2352</v>
      </c>
      <c r="S43">
        <v>7</v>
      </c>
      <c r="T43">
        <v>0.2</v>
      </c>
      <c r="U43">
        <v>-400.44</v>
      </c>
    </row>
    <row r="44" spans="1:21" x14ac:dyDescent="0.35">
      <c r="A44">
        <v>43</v>
      </c>
      <c r="B44" t="s">
        <v>152</v>
      </c>
      <c r="C44" s="1">
        <v>46089</v>
      </c>
      <c r="D44" s="1">
        <v>46095</v>
      </c>
      <c r="E44" t="s">
        <v>22</v>
      </c>
      <c r="F44" t="s">
        <v>153</v>
      </c>
      <c r="G44" t="s">
        <v>154</v>
      </c>
      <c r="H44" t="s">
        <v>25</v>
      </c>
      <c r="I44" t="s">
        <v>26</v>
      </c>
      <c r="J44" t="s">
        <v>89</v>
      </c>
      <c r="K44" t="s">
        <v>90</v>
      </c>
      <c r="L44">
        <v>90036</v>
      </c>
      <c r="M44" t="s">
        <v>85</v>
      </c>
      <c r="N44" t="s">
        <v>69</v>
      </c>
      <c r="O44" t="s">
        <v>43</v>
      </c>
      <c r="P44" t="s">
        <v>70</v>
      </c>
      <c r="Q44" t="s">
        <v>71</v>
      </c>
      <c r="R44">
        <v>144</v>
      </c>
      <c r="S44">
        <v>4</v>
      </c>
      <c r="T44">
        <v>0.2</v>
      </c>
      <c r="U44">
        <v>5.18</v>
      </c>
    </row>
    <row r="45" spans="1:21" x14ac:dyDescent="0.35">
      <c r="A45">
        <v>44</v>
      </c>
      <c r="B45" t="s">
        <v>152</v>
      </c>
      <c r="C45" s="1">
        <v>46089</v>
      </c>
      <c r="D45" s="1">
        <v>46095</v>
      </c>
      <c r="E45" t="s">
        <v>94</v>
      </c>
      <c r="F45" t="s">
        <v>153</v>
      </c>
      <c r="G45" t="s">
        <v>154</v>
      </c>
      <c r="H45" t="s">
        <v>25</v>
      </c>
      <c r="I45" t="s">
        <v>26</v>
      </c>
      <c r="J45" t="s">
        <v>89</v>
      </c>
      <c r="K45" t="s">
        <v>90</v>
      </c>
      <c r="L45">
        <v>90036</v>
      </c>
      <c r="M45" t="s">
        <v>85</v>
      </c>
      <c r="N45" t="s">
        <v>97</v>
      </c>
      <c r="O45" t="s">
        <v>31</v>
      </c>
      <c r="P45" t="s">
        <v>98</v>
      </c>
      <c r="Q45" t="s">
        <v>99</v>
      </c>
      <c r="R45">
        <v>1560</v>
      </c>
      <c r="S45">
        <v>6</v>
      </c>
      <c r="T45">
        <v>0</v>
      </c>
      <c r="U45">
        <v>155.43</v>
      </c>
    </row>
    <row r="46" spans="1:21" x14ac:dyDescent="0.35">
      <c r="A46">
        <v>45</v>
      </c>
      <c r="B46" t="s">
        <v>152</v>
      </c>
      <c r="C46" s="1">
        <v>46089</v>
      </c>
      <c r="D46" s="1">
        <v>46095</v>
      </c>
      <c r="E46" t="s">
        <v>35</v>
      </c>
      <c r="F46" t="s">
        <v>153</v>
      </c>
      <c r="G46" t="s">
        <v>154</v>
      </c>
      <c r="H46" t="s">
        <v>25</v>
      </c>
      <c r="I46" t="s">
        <v>26</v>
      </c>
      <c r="J46" t="s">
        <v>89</v>
      </c>
      <c r="K46" t="s">
        <v>90</v>
      </c>
      <c r="L46">
        <v>90036</v>
      </c>
      <c r="M46" t="s">
        <v>85</v>
      </c>
      <c r="N46" t="s">
        <v>30</v>
      </c>
      <c r="O46" t="s">
        <v>31</v>
      </c>
      <c r="P46" t="s">
        <v>32</v>
      </c>
      <c r="Q46" t="s">
        <v>33</v>
      </c>
      <c r="R46">
        <v>1150</v>
      </c>
      <c r="S46">
        <v>5</v>
      </c>
      <c r="T46">
        <v>0</v>
      </c>
      <c r="U46">
        <v>139.03</v>
      </c>
    </row>
    <row r="47" spans="1:21" x14ac:dyDescent="0.35">
      <c r="A47">
        <v>46</v>
      </c>
      <c r="B47" t="s">
        <v>155</v>
      </c>
      <c r="C47" s="1">
        <v>45495</v>
      </c>
      <c r="D47" s="1">
        <v>45496</v>
      </c>
      <c r="E47" t="s">
        <v>22</v>
      </c>
      <c r="F47" t="s">
        <v>36</v>
      </c>
      <c r="G47" t="s">
        <v>37</v>
      </c>
      <c r="H47" t="s">
        <v>38</v>
      </c>
      <c r="I47" t="s">
        <v>26</v>
      </c>
      <c r="J47" t="s">
        <v>39</v>
      </c>
      <c r="K47" t="s">
        <v>40</v>
      </c>
      <c r="L47">
        <v>53711</v>
      </c>
      <c r="M47" t="s">
        <v>41</v>
      </c>
      <c r="N47" t="s">
        <v>103</v>
      </c>
      <c r="O47" t="s">
        <v>47</v>
      </c>
      <c r="P47" t="s">
        <v>104</v>
      </c>
      <c r="Q47" t="s">
        <v>105</v>
      </c>
      <c r="R47">
        <v>1780</v>
      </c>
      <c r="S47">
        <v>2</v>
      </c>
      <c r="T47">
        <v>0</v>
      </c>
      <c r="U47">
        <v>355.93</v>
      </c>
    </row>
    <row r="48" spans="1:21" x14ac:dyDescent="0.35">
      <c r="A48">
        <v>47</v>
      </c>
      <c r="B48" t="s">
        <v>155</v>
      </c>
      <c r="C48" s="1">
        <v>45495</v>
      </c>
      <c r="D48" s="1">
        <v>45496</v>
      </c>
      <c r="E48" t="s">
        <v>94</v>
      </c>
      <c r="F48" t="s">
        <v>36</v>
      </c>
      <c r="G48" t="s">
        <v>37</v>
      </c>
      <c r="H48" t="s">
        <v>38</v>
      </c>
      <c r="I48" t="s">
        <v>26</v>
      </c>
      <c r="J48" t="s">
        <v>39</v>
      </c>
      <c r="K48" t="s">
        <v>40</v>
      </c>
      <c r="L48">
        <v>53711</v>
      </c>
      <c r="M48" t="s">
        <v>41</v>
      </c>
      <c r="N48" t="s">
        <v>121</v>
      </c>
      <c r="O48" t="s">
        <v>47</v>
      </c>
      <c r="P48" t="s">
        <v>122</v>
      </c>
      <c r="Q48" t="s">
        <v>123</v>
      </c>
      <c r="R48">
        <v>540</v>
      </c>
      <c r="S48">
        <v>1</v>
      </c>
      <c r="T48">
        <v>0</v>
      </c>
      <c r="U48">
        <v>103.76</v>
      </c>
    </row>
    <row r="49" spans="1:21" x14ac:dyDescent="0.35">
      <c r="A49">
        <v>48</v>
      </c>
      <c r="B49" t="s">
        <v>155</v>
      </c>
      <c r="C49" s="1">
        <v>45495</v>
      </c>
      <c r="D49" s="1">
        <v>45496</v>
      </c>
      <c r="E49" t="s">
        <v>50</v>
      </c>
      <c r="F49" t="s">
        <v>36</v>
      </c>
      <c r="G49" t="s">
        <v>37</v>
      </c>
      <c r="H49" t="s">
        <v>38</v>
      </c>
      <c r="I49" t="s">
        <v>26</v>
      </c>
      <c r="J49" t="s">
        <v>39</v>
      </c>
      <c r="K49" t="s">
        <v>40</v>
      </c>
      <c r="L49">
        <v>53711</v>
      </c>
      <c r="M49" t="s">
        <v>41</v>
      </c>
      <c r="N49" t="s">
        <v>97</v>
      </c>
      <c r="O49" t="s">
        <v>31</v>
      </c>
      <c r="P49" t="s">
        <v>98</v>
      </c>
      <c r="Q49" t="s">
        <v>99</v>
      </c>
      <c r="R49">
        <v>910</v>
      </c>
      <c r="S49">
        <v>5</v>
      </c>
      <c r="T49">
        <v>0.3</v>
      </c>
      <c r="U49">
        <v>-72.83</v>
      </c>
    </row>
    <row r="50" spans="1:21" x14ac:dyDescent="0.35">
      <c r="A50">
        <v>49</v>
      </c>
      <c r="B50" t="s">
        <v>155</v>
      </c>
      <c r="C50" s="1">
        <v>45495</v>
      </c>
      <c r="D50" s="1">
        <v>45496</v>
      </c>
      <c r="E50" t="s">
        <v>50</v>
      </c>
      <c r="F50" t="s">
        <v>36</v>
      </c>
      <c r="G50" t="s">
        <v>37</v>
      </c>
      <c r="H50" t="s">
        <v>38</v>
      </c>
      <c r="I50" t="s">
        <v>26</v>
      </c>
      <c r="J50" t="s">
        <v>39</v>
      </c>
      <c r="K50" t="s">
        <v>40</v>
      </c>
      <c r="L50">
        <v>53711</v>
      </c>
      <c r="M50" t="s">
        <v>41</v>
      </c>
      <c r="N50" t="s">
        <v>113</v>
      </c>
      <c r="O50" t="s">
        <v>43</v>
      </c>
      <c r="P50" t="s">
        <v>114</v>
      </c>
      <c r="Q50" t="s">
        <v>115</v>
      </c>
      <c r="R50">
        <v>38.5</v>
      </c>
      <c r="S50">
        <v>5</v>
      </c>
      <c r="T50">
        <v>0.3</v>
      </c>
      <c r="U50">
        <v>5.57</v>
      </c>
    </row>
    <row r="51" spans="1:21" x14ac:dyDescent="0.35">
      <c r="A51">
        <v>50</v>
      </c>
      <c r="B51" t="s">
        <v>156</v>
      </c>
      <c r="C51" s="1">
        <v>46293</v>
      </c>
      <c r="D51" s="1">
        <v>46299</v>
      </c>
      <c r="E51" t="s">
        <v>22</v>
      </c>
      <c r="F51" t="s">
        <v>157</v>
      </c>
      <c r="G51" t="s">
        <v>158</v>
      </c>
      <c r="H51" t="s">
        <v>62</v>
      </c>
      <c r="I51" t="s">
        <v>26</v>
      </c>
      <c r="J51" t="s">
        <v>89</v>
      </c>
      <c r="K51" t="s">
        <v>90</v>
      </c>
      <c r="L51">
        <v>90036</v>
      </c>
      <c r="M51" t="s">
        <v>85</v>
      </c>
      <c r="N51" t="s">
        <v>109</v>
      </c>
      <c r="O51" t="s">
        <v>31</v>
      </c>
      <c r="P51" t="s">
        <v>110</v>
      </c>
      <c r="Q51" t="s">
        <v>111</v>
      </c>
      <c r="R51">
        <v>140</v>
      </c>
      <c r="S51">
        <v>7</v>
      </c>
      <c r="T51">
        <v>0.2</v>
      </c>
      <c r="U51">
        <v>21.08</v>
      </c>
    </row>
    <row r="52" spans="1:21" x14ac:dyDescent="0.35">
      <c r="A52">
        <v>51</v>
      </c>
      <c r="B52" t="s">
        <v>159</v>
      </c>
      <c r="C52" s="1">
        <v>46207</v>
      </c>
      <c r="D52" s="1">
        <v>46213</v>
      </c>
      <c r="E52" t="s">
        <v>35</v>
      </c>
      <c r="F52" t="s">
        <v>160</v>
      </c>
      <c r="G52" t="s">
        <v>161</v>
      </c>
      <c r="H52" t="s">
        <v>25</v>
      </c>
      <c r="I52" t="s">
        <v>26</v>
      </c>
      <c r="J52" t="s">
        <v>162</v>
      </c>
      <c r="K52" t="s">
        <v>163</v>
      </c>
      <c r="L52">
        <v>28205</v>
      </c>
      <c r="M52" t="s">
        <v>65</v>
      </c>
      <c r="N52" t="s">
        <v>103</v>
      </c>
      <c r="O52" t="s">
        <v>47</v>
      </c>
      <c r="P52" t="s">
        <v>104</v>
      </c>
      <c r="Q52" t="s">
        <v>105</v>
      </c>
      <c r="R52">
        <v>1780</v>
      </c>
      <c r="S52">
        <v>2</v>
      </c>
      <c r="T52">
        <v>0</v>
      </c>
      <c r="U52">
        <v>356.81</v>
      </c>
    </row>
    <row r="53" spans="1:21" x14ac:dyDescent="0.35">
      <c r="A53">
        <v>52</v>
      </c>
      <c r="B53" t="s">
        <v>159</v>
      </c>
      <c r="C53" s="1">
        <v>46207</v>
      </c>
      <c r="D53" s="1">
        <v>46213</v>
      </c>
      <c r="E53" t="s">
        <v>94</v>
      </c>
      <c r="F53" t="s">
        <v>160</v>
      </c>
      <c r="G53" t="s">
        <v>161</v>
      </c>
      <c r="H53" t="s">
        <v>25</v>
      </c>
      <c r="I53" t="s">
        <v>26</v>
      </c>
      <c r="J53" t="s">
        <v>162</v>
      </c>
      <c r="K53" t="s">
        <v>163</v>
      </c>
      <c r="L53">
        <v>28205</v>
      </c>
      <c r="M53" t="s">
        <v>65</v>
      </c>
      <c r="N53" t="s">
        <v>109</v>
      </c>
      <c r="O53" t="s">
        <v>31</v>
      </c>
      <c r="P53" t="s">
        <v>110</v>
      </c>
      <c r="Q53" t="s">
        <v>111</v>
      </c>
      <c r="R53">
        <v>70</v>
      </c>
      <c r="S53">
        <v>4</v>
      </c>
      <c r="T53">
        <v>0.3</v>
      </c>
      <c r="U53">
        <v>5.52</v>
      </c>
    </row>
    <row r="54" spans="1:21" x14ac:dyDescent="0.35">
      <c r="A54">
        <v>53</v>
      </c>
      <c r="B54" t="s">
        <v>159</v>
      </c>
      <c r="C54" s="1">
        <v>46207</v>
      </c>
      <c r="D54" s="1">
        <v>46213</v>
      </c>
      <c r="E54" t="s">
        <v>50</v>
      </c>
      <c r="F54" t="s">
        <v>160</v>
      </c>
      <c r="G54" t="s">
        <v>161</v>
      </c>
      <c r="H54" t="s">
        <v>25</v>
      </c>
      <c r="I54" t="s">
        <v>26</v>
      </c>
      <c r="J54" t="s">
        <v>162</v>
      </c>
      <c r="K54" t="s">
        <v>163</v>
      </c>
      <c r="L54">
        <v>28205</v>
      </c>
      <c r="M54" t="s">
        <v>65</v>
      </c>
      <c r="N54" t="s">
        <v>69</v>
      </c>
      <c r="O54" t="s">
        <v>43</v>
      </c>
      <c r="P54" t="s">
        <v>70</v>
      </c>
      <c r="Q54" t="s">
        <v>71</v>
      </c>
      <c r="R54">
        <v>283.5</v>
      </c>
      <c r="S54">
        <v>7</v>
      </c>
      <c r="T54">
        <v>0.1</v>
      </c>
      <c r="U54">
        <v>26.92</v>
      </c>
    </row>
    <row r="55" spans="1:21" x14ac:dyDescent="0.35">
      <c r="A55">
        <v>54</v>
      </c>
      <c r="B55" t="s">
        <v>159</v>
      </c>
      <c r="C55" s="1">
        <v>46207</v>
      </c>
      <c r="D55" s="1">
        <v>46213</v>
      </c>
      <c r="E55" t="s">
        <v>94</v>
      </c>
      <c r="F55" t="s">
        <v>160</v>
      </c>
      <c r="G55" t="s">
        <v>161</v>
      </c>
      <c r="H55" t="s">
        <v>25</v>
      </c>
      <c r="I55" t="s">
        <v>26</v>
      </c>
      <c r="J55" t="s">
        <v>162</v>
      </c>
      <c r="K55" t="s">
        <v>163</v>
      </c>
      <c r="L55">
        <v>28205</v>
      </c>
      <c r="M55" t="s">
        <v>65</v>
      </c>
      <c r="N55" t="s">
        <v>121</v>
      </c>
      <c r="O55" t="s">
        <v>47</v>
      </c>
      <c r="P55" t="s">
        <v>122</v>
      </c>
      <c r="Q55" t="s">
        <v>123</v>
      </c>
      <c r="R55">
        <v>2592</v>
      </c>
      <c r="S55">
        <v>6</v>
      </c>
      <c r="T55">
        <v>0.2</v>
      </c>
      <c r="U55">
        <v>182.25</v>
      </c>
    </row>
    <row r="56" spans="1:21" x14ac:dyDescent="0.35">
      <c r="A56">
        <v>55</v>
      </c>
      <c r="B56" t="s">
        <v>164</v>
      </c>
      <c r="C56" s="1">
        <v>45485</v>
      </c>
      <c r="D56" s="1">
        <v>45486</v>
      </c>
      <c r="E56" t="s">
        <v>35</v>
      </c>
      <c r="F56" t="s">
        <v>36</v>
      </c>
      <c r="G56" t="s">
        <v>37</v>
      </c>
      <c r="H56" t="s">
        <v>38</v>
      </c>
      <c r="I56" t="s">
        <v>26</v>
      </c>
      <c r="J56" t="s">
        <v>39</v>
      </c>
      <c r="K56" t="s">
        <v>40</v>
      </c>
      <c r="L56">
        <v>53711</v>
      </c>
      <c r="M56" t="s">
        <v>41</v>
      </c>
      <c r="N56" t="s">
        <v>66</v>
      </c>
      <c r="O56" t="s">
        <v>47</v>
      </c>
      <c r="P56" t="s">
        <v>67</v>
      </c>
      <c r="Q56" t="s">
        <v>68</v>
      </c>
      <c r="R56">
        <v>1155</v>
      </c>
      <c r="S56">
        <v>5</v>
      </c>
      <c r="T56">
        <v>0.3</v>
      </c>
      <c r="U56">
        <v>-10.39</v>
      </c>
    </row>
    <row r="57" spans="1:21" x14ac:dyDescent="0.35">
      <c r="A57">
        <v>56</v>
      </c>
      <c r="B57" t="s">
        <v>165</v>
      </c>
      <c r="C57" s="1">
        <v>45614</v>
      </c>
      <c r="D57" s="1">
        <v>45618</v>
      </c>
      <c r="E57" t="s">
        <v>50</v>
      </c>
      <c r="F57" t="s">
        <v>23</v>
      </c>
      <c r="G57" t="s">
        <v>24</v>
      </c>
      <c r="H57" t="s">
        <v>25</v>
      </c>
      <c r="I57" t="s">
        <v>26</v>
      </c>
      <c r="J57" t="s">
        <v>27</v>
      </c>
      <c r="K57" t="s">
        <v>28</v>
      </c>
      <c r="M57" t="s">
        <v>29</v>
      </c>
      <c r="N57" t="s">
        <v>121</v>
      </c>
      <c r="O57" t="s">
        <v>47</v>
      </c>
      <c r="P57" t="s">
        <v>122</v>
      </c>
      <c r="Q57" t="s">
        <v>123</v>
      </c>
      <c r="R57">
        <v>2160</v>
      </c>
      <c r="S57">
        <v>4</v>
      </c>
      <c r="T57">
        <v>0</v>
      </c>
      <c r="U57">
        <v>410</v>
      </c>
    </row>
    <row r="58" spans="1:21" x14ac:dyDescent="0.35">
      <c r="A58">
        <v>57</v>
      </c>
      <c r="B58" t="s">
        <v>165</v>
      </c>
      <c r="C58" s="1">
        <v>45614</v>
      </c>
      <c r="D58" s="1">
        <v>45618</v>
      </c>
      <c r="E58" t="s">
        <v>94</v>
      </c>
      <c r="F58" t="s">
        <v>23</v>
      </c>
      <c r="G58" t="s">
        <v>24</v>
      </c>
      <c r="H58" t="s">
        <v>25</v>
      </c>
      <c r="I58" t="s">
        <v>26</v>
      </c>
      <c r="J58" t="s">
        <v>27</v>
      </c>
      <c r="K58" t="s">
        <v>28</v>
      </c>
      <c r="M58" t="s">
        <v>29</v>
      </c>
      <c r="N58" t="s">
        <v>113</v>
      </c>
      <c r="O58" t="s">
        <v>43</v>
      </c>
      <c r="P58" t="s">
        <v>114</v>
      </c>
      <c r="Q58" t="s">
        <v>115</v>
      </c>
      <c r="R58">
        <v>39.6</v>
      </c>
      <c r="S58">
        <v>4</v>
      </c>
      <c r="T58">
        <v>0.1</v>
      </c>
      <c r="U58">
        <v>12.39</v>
      </c>
    </row>
    <row r="59" spans="1:21" x14ac:dyDescent="0.35">
      <c r="A59">
        <v>58</v>
      </c>
      <c r="B59" t="s">
        <v>166</v>
      </c>
      <c r="C59" s="1">
        <v>45352</v>
      </c>
      <c r="D59" s="1">
        <v>45353</v>
      </c>
      <c r="E59" t="s">
        <v>35</v>
      </c>
      <c r="F59" t="s">
        <v>36</v>
      </c>
      <c r="G59" t="s">
        <v>37</v>
      </c>
      <c r="H59" t="s">
        <v>38</v>
      </c>
      <c r="I59" t="s">
        <v>26</v>
      </c>
      <c r="J59" t="s">
        <v>39</v>
      </c>
      <c r="K59" t="s">
        <v>40</v>
      </c>
      <c r="L59">
        <v>53711</v>
      </c>
      <c r="M59" t="s">
        <v>41</v>
      </c>
      <c r="N59" t="s">
        <v>109</v>
      </c>
      <c r="O59" t="s">
        <v>31</v>
      </c>
      <c r="P59" t="s">
        <v>110</v>
      </c>
      <c r="Q59" t="s">
        <v>111</v>
      </c>
      <c r="R59">
        <v>150</v>
      </c>
      <c r="S59">
        <v>6</v>
      </c>
      <c r="T59">
        <v>0</v>
      </c>
      <c r="U59">
        <v>41.15</v>
      </c>
    </row>
    <row r="60" spans="1:21" x14ac:dyDescent="0.35">
      <c r="A60">
        <v>59</v>
      </c>
      <c r="B60" t="s">
        <v>166</v>
      </c>
      <c r="C60" s="1">
        <v>45352</v>
      </c>
      <c r="D60" s="1">
        <v>45353</v>
      </c>
      <c r="E60" t="s">
        <v>94</v>
      </c>
      <c r="F60" t="s">
        <v>36</v>
      </c>
      <c r="G60" t="s">
        <v>37</v>
      </c>
      <c r="H60" t="s">
        <v>38</v>
      </c>
      <c r="I60" t="s">
        <v>26</v>
      </c>
      <c r="J60" t="s">
        <v>39</v>
      </c>
      <c r="K60" t="s">
        <v>40</v>
      </c>
      <c r="L60">
        <v>53711</v>
      </c>
      <c r="M60" t="s">
        <v>41</v>
      </c>
      <c r="N60" t="s">
        <v>106</v>
      </c>
      <c r="O60" t="s">
        <v>43</v>
      </c>
      <c r="P60" t="s">
        <v>107</v>
      </c>
      <c r="Q60" t="s">
        <v>108</v>
      </c>
      <c r="R60">
        <v>63</v>
      </c>
      <c r="S60">
        <v>7</v>
      </c>
      <c r="T60">
        <v>0</v>
      </c>
      <c r="U60">
        <v>19.98</v>
      </c>
    </row>
    <row r="61" spans="1:21" x14ac:dyDescent="0.35">
      <c r="A61">
        <v>60</v>
      </c>
      <c r="B61" t="s">
        <v>166</v>
      </c>
      <c r="C61" s="1">
        <v>45352</v>
      </c>
      <c r="D61" s="1">
        <v>45353</v>
      </c>
      <c r="E61" t="s">
        <v>22</v>
      </c>
      <c r="F61" t="s">
        <v>36</v>
      </c>
      <c r="G61" t="s">
        <v>37</v>
      </c>
      <c r="H61" t="s">
        <v>38</v>
      </c>
      <c r="I61" t="s">
        <v>26</v>
      </c>
      <c r="J61" t="s">
        <v>39</v>
      </c>
      <c r="K61" t="s">
        <v>40</v>
      </c>
      <c r="L61">
        <v>53711</v>
      </c>
      <c r="M61" t="s">
        <v>41</v>
      </c>
      <c r="N61" t="s">
        <v>103</v>
      </c>
      <c r="O61" t="s">
        <v>47</v>
      </c>
      <c r="P61" t="s">
        <v>104</v>
      </c>
      <c r="Q61" t="s">
        <v>105</v>
      </c>
      <c r="R61">
        <v>5340</v>
      </c>
      <c r="S61">
        <v>6</v>
      </c>
      <c r="T61">
        <v>0</v>
      </c>
      <c r="U61">
        <v>1066.06</v>
      </c>
    </row>
    <row r="62" spans="1:21" x14ac:dyDescent="0.35">
      <c r="A62">
        <v>61</v>
      </c>
      <c r="B62" t="s">
        <v>167</v>
      </c>
      <c r="C62" s="1">
        <v>45954</v>
      </c>
      <c r="D62" s="1">
        <v>45955</v>
      </c>
      <c r="E62" t="s">
        <v>22</v>
      </c>
      <c r="F62" t="s">
        <v>157</v>
      </c>
      <c r="G62" t="s">
        <v>158</v>
      </c>
      <c r="H62" t="s">
        <v>62</v>
      </c>
      <c r="I62" t="s">
        <v>26</v>
      </c>
      <c r="J62" t="s">
        <v>89</v>
      </c>
      <c r="K62" t="s">
        <v>90</v>
      </c>
      <c r="L62">
        <v>90036</v>
      </c>
      <c r="M62" t="s">
        <v>85</v>
      </c>
      <c r="N62" t="s">
        <v>77</v>
      </c>
      <c r="O62" t="s">
        <v>31</v>
      </c>
      <c r="P62" t="s">
        <v>78</v>
      </c>
      <c r="Q62" t="s">
        <v>79</v>
      </c>
      <c r="R62">
        <v>2100</v>
      </c>
      <c r="S62">
        <v>5</v>
      </c>
      <c r="T62">
        <v>0</v>
      </c>
      <c r="U62">
        <v>-106.03</v>
      </c>
    </row>
    <row r="63" spans="1:21" x14ac:dyDescent="0.35">
      <c r="A63">
        <v>62</v>
      </c>
      <c r="B63" t="s">
        <v>168</v>
      </c>
      <c r="C63" s="1">
        <v>45359</v>
      </c>
      <c r="D63" s="1">
        <v>45361</v>
      </c>
      <c r="E63" t="s">
        <v>50</v>
      </c>
      <c r="F63" t="s">
        <v>169</v>
      </c>
      <c r="G63" t="s">
        <v>170</v>
      </c>
      <c r="H63" t="s">
        <v>38</v>
      </c>
      <c r="I63" t="s">
        <v>26</v>
      </c>
      <c r="J63" t="s">
        <v>57</v>
      </c>
      <c r="K63" t="s">
        <v>58</v>
      </c>
      <c r="L63">
        <v>10009</v>
      </c>
      <c r="M63" t="s">
        <v>29</v>
      </c>
      <c r="N63" t="s">
        <v>121</v>
      </c>
      <c r="O63" t="s">
        <v>47</v>
      </c>
      <c r="P63" t="s">
        <v>122</v>
      </c>
      <c r="Q63" t="s">
        <v>123</v>
      </c>
      <c r="R63">
        <v>2646</v>
      </c>
      <c r="S63">
        <v>7</v>
      </c>
      <c r="T63">
        <v>0.3</v>
      </c>
      <c r="U63">
        <v>26.23</v>
      </c>
    </row>
    <row r="64" spans="1:21" x14ac:dyDescent="0.35">
      <c r="A64">
        <v>63</v>
      </c>
      <c r="B64" t="s">
        <v>168</v>
      </c>
      <c r="C64" s="1">
        <v>45359</v>
      </c>
      <c r="D64" s="1">
        <v>45361</v>
      </c>
      <c r="E64" t="s">
        <v>22</v>
      </c>
      <c r="F64" t="s">
        <v>169</v>
      </c>
      <c r="G64" t="s">
        <v>170</v>
      </c>
      <c r="H64" t="s">
        <v>38</v>
      </c>
      <c r="I64" t="s">
        <v>26</v>
      </c>
      <c r="J64" t="s">
        <v>57</v>
      </c>
      <c r="K64" t="s">
        <v>58</v>
      </c>
      <c r="L64">
        <v>10009</v>
      </c>
      <c r="M64" t="s">
        <v>29</v>
      </c>
      <c r="N64" t="s">
        <v>77</v>
      </c>
      <c r="O64" t="s">
        <v>31</v>
      </c>
      <c r="P64" t="s">
        <v>78</v>
      </c>
      <c r="Q64" t="s">
        <v>79</v>
      </c>
      <c r="R64">
        <v>1260</v>
      </c>
      <c r="S64">
        <v>6</v>
      </c>
      <c r="T64">
        <v>0.5</v>
      </c>
      <c r="U64">
        <v>-442.87</v>
      </c>
    </row>
    <row r="65" spans="1:21" x14ac:dyDescent="0.35">
      <c r="A65">
        <v>64</v>
      </c>
      <c r="B65" t="s">
        <v>168</v>
      </c>
      <c r="C65" s="1">
        <v>45359</v>
      </c>
      <c r="D65" s="1">
        <v>45361</v>
      </c>
      <c r="E65" t="s">
        <v>35</v>
      </c>
      <c r="F65" t="s">
        <v>169</v>
      </c>
      <c r="G65" t="s">
        <v>170</v>
      </c>
      <c r="H65" t="s">
        <v>38</v>
      </c>
      <c r="I65" t="s">
        <v>26</v>
      </c>
      <c r="J65" t="s">
        <v>57</v>
      </c>
      <c r="K65" t="s">
        <v>58</v>
      </c>
      <c r="L65">
        <v>10009</v>
      </c>
      <c r="M65" t="s">
        <v>29</v>
      </c>
      <c r="N65" t="s">
        <v>46</v>
      </c>
      <c r="O65" t="s">
        <v>47</v>
      </c>
      <c r="P65" t="s">
        <v>48</v>
      </c>
      <c r="Q65" t="s">
        <v>49</v>
      </c>
      <c r="R65">
        <v>144</v>
      </c>
      <c r="S65">
        <v>5</v>
      </c>
      <c r="T65">
        <v>0.1</v>
      </c>
      <c r="U65">
        <v>24.01</v>
      </c>
    </row>
    <row r="66" spans="1:21" x14ac:dyDescent="0.35">
      <c r="A66">
        <v>65</v>
      </c>
      <c r="B66" t="s">
        <v>171</v>
      </c>
      <c r="C66" s="1">
        <v>45591</v>
      </c>
      <c r="D66" s="1">
        <v>45596</v>
      </c>
      <c r="E66" t="s">
        <v>35</v>
      </c>
      <c r="F66" t="s">
        <v>172</v>
      </c>
      <c r="G66" t="s">
        <v>118</v>
      </c>
      <c r="H66" t="s">
        <v>38</v>
      </c>
      <c r="I66" t="s">
        <v>26</v>
      </c>
      <c r="J66" t="s">
        <v>173</v>
      </c>
      <c r="K66" t="s">
        <v>174</v>
      </c>
      <c r="L66">
        <v>77095</v>
      </c>
      <c r="M66" t="s">
        <v>41</v>
      </c>
      <c r="N66" t="s">
        <v>42</v>
      </c>
      <c r="O66" t="s">
        <v>43</v>
      </c>
      <c r="P66" t="s">
        <v>44</v>
      </c>
      <c r="Q66" t="s">
        <v>45</v>
      </c>
      <c r="R66">
        <v>42</v>
      </c>
      <c r="S66">
        <v>6</v>
      </c>
      <c r="T66">
        <v>0.5</v>
      </c>
      <c r="U66">
        <v>3.37</v>
      </c>
    </row>
    <row r="67" spans="1:21" x14ac:dyDescent="0.35">
      <c r="A67">
        <v>66</v>
      </c>
      <c r="B67" t="s">
        <v>171</v>
      </c>
      <c r="C67" s="1">
        <v>45591</v>
      </c>
      <c r="D67" s="1">
        <v>45596</v>
      </c>
      <c r="E67" t="s">
        <v>35</v>
      </c>
      <c r="F67" t="s">
        <v>172</v>
      </c>
      <c r="G67" t="s">
        <v>118</v>
      </c>
      <c r="H67" t="s">
        <v>38</v>
      </c>
      <c r="I67" t="s">
        <v>26</v>
      </c>
      <c r="J67" t="s">
        <v>173</v>
      </c>
      <c r="K67" t="s">
        <v>174</v>
      </c>
      <c r="L67">
        <v>77095</v>
      </c>
      <c r="M67" t="s">
        <v>41</v>
      </c>
      <c r="N67" t="s">
        <v>30</v>
      </c>
      <c r="O67" t="s">
        <v>31</v>
      </c>
      <c r="P67" t="s">
        <v>32</v>
      </c>
      <c r="Q67" t="s">
        <v>33</v>
      </c>
      <c r="R67">
        <v>690</v>
      </c>
      <c r="S67">
        <v>6</v>
      </c>
      <c r="T67">
        <v>0.5</v>
      </c>
      <c r="U67">
        <v>-125.79</v>
      </c>
    </row>
    <row r="68" spans="1:21" x14ac:dyDescent="0.35">
      <c r="A68">
        <v>67</v>
      </c>
      <c r="B68" t="s">
        <v>171</v>
      </c>
      <c r="C68" s="1">
        <v>45591</v>
      </c>
      <c r="D68" s="1">
        <v>45596</v>
      </c>
      <c r="E68" t="s">
        <v>22</v>
      </c>
      <c r="F68" t="s">
        <v>172</v>
      </c>
      <c r="G68" t="s">
        <v>118</v>
      </c>
      <c r="H68" t="s">
        <v>38</v>
      </c>
      <c r="I68" t="s">
        <v>26</v>
      </c>
      <c r="J68" t="s">
        <v>173</v>
      </c>
      <c r="K68" t="s">
        <v>174</v>
      </c>
      <c r="L68">
        <v>77095</v>
      </c>
      <c r="M68" t="s">
        <v>41</v>
      </c>
      <c r="N68" t="s">
        <v>106</v>
      </c>
      <c r="O68" t="s">
        <v>43</v>
      </c>
      <c r="P68" t="s">
        <v>107</v>
      </c>
      <c r="Q68" t="s">
        <v>108</v>
      </c>
      <c r="R68">
        <v>54</v>
      </c>
      <c r="S68">
        <v>6</v>
      </c>
      <c r="T68">
        <v>0</v>
      </c>
      <c r="U68">
        <v>16.059999999999999</v>
      </c>
    </row>
    <row r="69" spans="1:21" x14ac:dyDescent="0.35">
      <c r="A69">
        <v>68</v>
      </c>
      <c r="B69" t="s">
        <v>175</v>
      </c>
      <c r="C69" s="1">
        <v>45462</v>
      </c>
      <c r="D69" s="1">
        <v>45465</v>
      </c>
      <c r="E69" t="s">
        <v>35</v>
      </c>
      <c r="F69" t="s">
        <v>55</v>
      </c>
      <c r="G69" t="s">
        <v>56</v>
      </c>
      <c r="H69" t="s">
        <v>38</v>
      </c>
      <c r="I69" t="s">
        <v>26</v>
      </c>
      <c r="J69" t="s">
        <v>57</v>
      </c>
      <c r="K69" t="s">
        <v>58</v>
      </c>
      <c r="L69">
        <v>10009</v>
      </c>
      <c r="M69" t="s">
        <v>29</v>
      </c>
      <c r="N69" t="s">
        <v>95</v>
      </c>
      <c r="O69" t="s">
        <v>47</v>
      </c>
      <c r="P69" t="s">
        <v>48</v>
      </c>
      <c r="Q69" t="s">
        <v>96</v>
      </c>
      <c r="R69">
        <v>70.400000000000006</v>
      </c>
      <c r="S69">
        <v>4</v>
      </c>
      <c r="T69">
        <v>0.2</v>
      </c>
      <c r="U69">
        <v>13.73</v>
      </c>
    </row>
    <row r="70" spans="1:21" x14ac:dyDescent="0.35">
      <c r="A70">
        <v>69</v>
      </c>
      <c r="B70" t="s">
        <v>175</v>
      </c>
      <c r="C70" s="1">
        <v>45462</v>
      </c>
      <c r="D70" s="1">
        <v>45465</v>
      </c>
      <c r="E70" t="s">
        <v>94</v>
      </c>
      <c r="F70" t="s">
        <v>55</v>
      </c>
      <c r="G70" t="s">
        <v>56</v>
      </c>
      <c r="H70" t="s">
        <v>38</v>
      </c>
      <c r="I70" t="s">
        <v>26</v>
      </c>
      <c r="J70" t="s">
        <v>57</v>
      </c>
      <c r="K70" t="s">
        <v>58</v>
      </c>
      <c r="L70">
        <v>10009</v>
      </c>
      <c r="M70" t="s">
        <v>29</v>
      </c>
      <c r="N70" t="s">
        <v>97</v>
      </c>
      <c r="O70" t="s">
        <v>31</v>
      </c>
      <c r="P70" t="s">
        <v>98</v>
      </c>
      <c r="Q70" t="s">
        <v>99</v>
      </c>
      <c r="R70">
        <v>728</v>
      </c>
      <c r="S70">
        <v>4</v>
      </c>
      <c r="T70">
        <v>0.3</v>
      </c>
      <c r="U70">
        <v>-59.6</v>
      </c>
    </row>
    <row r="71" spans="1:21" x14ac:dyDescent="0.35">
      <c r="A71">
        <v>70</v>
      </c>
      <c r="B71" t="s">
        <v>176</v>
      </c>
      <c r="C71" s="1">
        <v>45989</v>
      </c>
      <c r="D71" s="1">
        <v>45995</v>
      </c>
      <c r="E71" t="s">
        <v>94</v>
      </c>
      <c r="F71" t="s">
        <v>60</v>
      </c>
      <c r="G71" t="s">
        <v>61</v>
      </c>
      <c r="H71" t="s">
        <v>62</v>
      </c>
      <c r="I71" t="s">
        <v>26</v>
      </c>
      <c r="J71" t="s">
        <v>63</v>
      </c>
      <c r="K71" t="s">
        <v>64</v>
      </c>
      <c r="L71">
        <v>37211</v>
      </c>
      <c r="M71" t="s">
        <v>65</v>
      </c>
      <c r="N71" t="s">
        <v>97</v>
      </c>
      <c r="O71" t="s">
        <v>31</v>
      </c>
      <c r="P71" t="s">
        <v>98</v>
      </c>
      <c r="Q71" t="s">
        <v>99</v>
      </c>
      <c r="R71">
        <v>1638</v>
      </c>
      <c r="S71">
        <v>7</v>
      </c>
      <c r="T71">
        <v>0.1</v>
      </c>
      <c r="U71">
        <v>65.78</v>
      </c>
    </row>
    <row r="72" spans="1:21" x14ac:dyDescent="0.35">
      <c r="A72">
        <v>71</v>
      </c>
      <c r="B72" t="s">
        <v>177</v>
      </c>
      <c r="C72" s="1">
        <v>45353</v>
      </c>
      <c r="D72" s="1">
        <v>45358</v>
      </c>
      <c r="E72" t="s">
        <v>35</v>
      </c>
      <c r="F72" t="s">
        <v>178</v>
      </c>
      <c r="G72" t="s">
        <v>179</v>
      </c>
      <c r="H72" t="s">
        <v>38</v>
      </c>
      <c r="I72" t="s">
        <v>26</v>
      </c>
      <c r="J72" t="s">
        <v>119</v>
      </c>
      <c r="K72" t="s">
        <v>120</v>
      </c>
      <c r="L72">
        <v>97206</v>
      </c>
      <c r="M72" t="s">
        <v>85</v>
      </c>
      <c r="N72" t="s">
        <v>121</v>
      </c>
      <c r="O72" t="s">
        <v>47</v>
      </c>
      <c r="P72" t="s">
        <v>122</v>
      </c>
      <c r="Q72" t="s">
        <v>123</v>
      </c>
      <c r="R72">
        <v>540</v>
      </c>
      <c r="S72">
        <v>1</v>
      </c>
      <c r="T72">
        <v>0</v>
      </c>
      <c r="U72">
        <v>104.48</v>
      </c>
    </row>
    <row r="73" spans="1:21" x14ac:dyDescent="0.35">
      <c r="A73">
        <v>72</v>
      </c>
      <c r="B73" t="s">
        <v>177</v>
      </c>
      <c r="C73" s="1">
        <v>45353</v>
      </c>
      <c r="D73" s="1">
        <v>45358</v>
      </c>
      <c r="E73" t="s">
        <v>94</v>
      </c>
      <c r="F73" t="s">
        <v>178</v>
      </c>
      <c r="G73" t="s">
        <v>179</v>
      </c>
      <c r="H73" t="s">
        <v>38</v>
      </c>
      <c r="I73" t="s">
        <v>26</v>
      </c>
      <c r="J73" t="s">
        <v>119</v>
      </c>
      <c r="K73" t="s">
        <v>120</v>
      </c>
      <c r="L73">
        <v>97206</v>
      </c>
      <c r="M73" t="s">
        <v>85</v>
      </c>
      <c r="N73" t="s">
        <v>42</v>
      </c>
      <c r="O73" t="s">
        <v>43</v>
      </c>
      <c r="P73" t="s">
        <v>44</v>
      </c>
      <c r="Q73" t="s">
        <v>45</v>
      </c>
      <c r="R73">
        <v>98</v>
      </c>
      <c r="S73">
        <v>7</v>
      </c>
      <c r="T73">
        <v>0</v>
      </c>
      <c r="U73">
        <v>37.479999999999997</v>
      </c>
    </row>
    <row r="74" spans="1:21" x14ac:dyDescent="0.35">
      <c r="A74">
        <v>73</v>
      </c>
      <c r="B74" t="s">
        <v>177</v>
      </c>
      <c r="C74" s="1">
        <v>45353</v>
      </c>
      <c r="D74" s="1">
        <v>45358</v>
      </c>
      <c r="E74" t="s">
        <v>35</v>
      </c>
      <c r="F74" t="s">
        <v>178</v>
      </c>
      <c r="G74" t="s">
        <v>179</v>
      </c>
      <c r="H74" t="s">
        <v>38</v>
      </c>
      <c r="I74" t="s">
        <v>26</v>
      </c>
      <c r="J74" t="s">
        <v>119</v>
      </c>
      <c r="K74" t="s">
        <v>120</v>
      </c>
      <c r="L74">
        <v>97206</v>
      </c>
      <c r="M74" t="s">
        <v>85</v>
      </c>
      <c r="N74" t="s">
        <v>106</v>
      </c>
      <c r="O74" t="s">
        <v>43</v>
      </c>
      <c r="P74" t="s">
        <v>107</v>
      </c>
      <c r="Q74" t="s">
        <v>108</v>
      </c>
      <c r="R74">
        <v>28.8</v>
      </c>
      <c r="S74">
        <v>4</v>
      </c>
      <c r="T74">
        <v>0.2</v>
      </c>
      <c r="U74">
        <v>5.91</v>
      </c>
    </row>
    <row r="75" spans="1:21" x14ac:dyDescent="0.35">
      <c r="A75">
        <v>74</v>
      </c>
      <c r="B75" t="s">
        <v>177</v>
      </c>
      <c r="C75" s="1">
        <v>45353</v>
      </c>
      <c r="D75" s="1">
        <v>45358</v>
      </c>
      <c r="E75" t="s">
        <v>22</v>
      </c>
      <c r="F75" t="s">
        <v>178</v>
      </c>
      <c r="G75" t="s">
        <v>179</v>
      </c>
      <c r="H75" t="s">
        <v>38</v>
      </c>
      <c r="I75" t="s">
        <v>26</v>
      </c>
      <c r="J75" t="s">
        <v>119</v>
      </c>
      <c r="K75" t="s">
        <v>120</v>
      </c>
      <c r="L75">
        <v>97206</v>
      </c>
      <c r="M75" t="s">
        <v>85</v>
      </c>
      <c r="N75" t="s">
        <v>113</v>
      </c>
      <c r="O75" t="s">
        <v>43</v>
      </c>
      <c r="P75" t="s">
        <v>114</v>
      </c>
      <c r="Q75" t="s">
        <v>115</v>
      </c>
      <c r="R75">
        <v>44</v>
      </c>
      <c r="S75">
        <v>5</v>
      </c>
      <c r="T75">
        <v>0.2</v>
      </c>
      <c r="U75">
        <v>8.32</v>
      </c>
    </row>
    <row r="76" spans="1:21" x14ac:dyDescent="0.35">
      <c r="A76">
        <v>75</v>
      </c>
      <c r="B76" t="s">
        <v>180</v>
      </c>
      <c r="C76" s="1">
        <v>45965</v>
      </c>
      <c r="D76" s="1">
        <v>45971</v>
      </c>
      <c r="E76" t="s">
        <v>22</v>
      </c>
      <c r="F76" t="s">
        <v>153</v>
      </c>
      <c r="G76" t="s">
        <v>154</v>
      </c>
      <c r="H76" t="s">
        <v>25</v>
      </c>
      <c r="I76" t="s">
        <v>26</v>
      </c>
      <c r="J76" t="s">
        <v>89</v>
      </c>
      <c r="K76" t="s">
        <v>90</v>
      </c>
      <c r="L76">
        <v>90036</v>
      </c>
      <c r="M76" t="s">
        <v>85</v>
      </c>
      <c r="N76" t="s">
        <v>42</v>
      </c>
      <c r="O76" t="s">
        <v>43</v>
      </c>
      <c r="P76" t="s">
        <v>44</v>
      </c>
      <c r="Q76" t="s">
        <v>45</v>
      </c>
      <c r="R76">
        <v>42</v>
      </c>
      <c r="S76">
        <v>3</v>
      </c>
      <c r="T76">
        <v>0</v>
      </c>
      <c r="U76">
        <v>15.93</v>
      </c>
    </row>
    <row r="77" spans="1:21" x14ac:dyDescent="0.35">
      <c r="A77">
        <v>76</v>
      </c>
      <c r="B77" t="s">
        <v>181</v>
      </c>
      <c r="C77" s="1">
        <v>46244</v>
      </c>
      <c r="D77" s="1">
        <v>46245</v>
      </c>
      <c r="E77" t="s">
        <v>50</v>
      </c>
      <c r="F77" t="s">
        <v>182</v>
      </c>
      <c r="G77" t="s">
        <v>183</v>
      </c>
      <c r="H77" t="s">
        <v>25</v>
      </c>
      <c r="I77" t="s">
        <v>26</v>
      </c>
      <c r="J77" t="s">
        <v>162</v>
      </c>
      <c r="K77" t="s">
        <v>163</v>
      </c>
      <c r="L77">
        <v>28205</v>
      </c>
      <c r="M77" t="s">
        <v>65</v>
      </c>
      <c r="N77" t="s">
        <v>113</v>
      </c>
      <c r="O77" t="s">
        <v>43</v>
      </c>
      <c r="P77" t="s">
        <v>114</v>
      </c>
      <c r="Q77" t="s">
        <v>115</v>
      </c>
      <c r="R77">
        <v>44</v>
      </c>
      <c r="S77">
        <v>4</v>
      </c>
      <c r="T77">
        <v>0</v>
      </c>
      <c r="U77">
        <v>16.12</v>
      </c>
    </row>
    <row r="78" spans="1:21" x14ac:dyDescent="0.35">
      <c r="A78">
        <v>77</v>
      </c>
      <c r="B78" t="s">
        <v>181</v>
      </c>
      <c r="C78" s="1">
        <v>46244</v>
      </c>
      <c r="D78" s="1">
        <v>46245</v>
      </c>
      <c r="E78" t="s">
        <v>35</v>
      </c>
      <c r="F78" t="s">
        <v>182</v>
      </c>
      <c r="G78" t="s">
        <v>183</v>
      </c>
      <c r="H78" t="s">
        <v>25</v>
      </c>
      <c r="I78" t="s">
        <v>26</v>
      </c>
      <c r="J78" t="s">
        <v>162</v>
      </c>
      <c r="K78" t="s">
        <v>163</v>
      </c>
      <c r="L78">
        <v>28205</v>
      </c>
      <c r="M78" t="s">
        <v>65</v>
      </c>
      <c r="N78" t="s">
        <v>77</v>
      </c>
      <c r="O78" t="s">
        <v>31</v>
      </c>
      <c r="P78" t="s">
        <v>78</v>
      </c>
      <c r="Q78" t="s">
        <v>79</v>
      </c>
      <c r="R78">
        <v>1260</v>
      </c>
      <c r="S78">
        <v>3</v>
      </c>
      <c r="T78">
        <v>0</v>
      </c>
      <c r="U78">
        <v>-64.569999999999993</v>
      </c>
    </row>
    <row r="79" spans="1:21" x14ac:dyDescent="0.35">
      <c r="A79">
        <v>78</v>
      </c>
      <c r="B79" t="s">
        <v>181</v>
      </c>
      <c r="C79" s="1">
        <v>46244</v>
      </c>
      <c r="D79" s="1">
        <v>46245</v>
      </c>
      <c r="E79" t="s">
        <v>94</v>
      </c>
      <c r="F79" t="s">
        <v>182</v>
      </c>
      <c r="G79" t="s">
        <v>183</v>
      </c>
      <c r="H79" t="s">
        <v>25</v>
      </c>
      <c r="I79" t="s">
        <v>26</v>
      </c>
      <c r="J79" t="s">
        <v>162</v>
      </c>
      <c r="K79" t="s">
        <v>163</v>
      </c>
      <c r="L79">
        <v>28205</v>
      </c>
      <c r="M79" t="s">
        <v>65</v>
      </c>
      <c r="N79" t="s">
        <v>121</v>
      </c>
      <c r="O79" t="s">
        <v>47</v>
      </c>
      <c r="P79" t="s">
        <v>122</v>
      </c>
      <c r="Q79" t="s">
        <v>123</v>
      </c>
      <c r="R79">
        <v>2160</v>
      </c>
      <c r="S79">
        <v>4</v>
      </c>
      <c r="T79">
        <v>0</v>
      </c>
      <c r="U79">
        <v>410.58</v>
      </c>
    </row>
    <row r="80" spans="1:21" x14ac:dyDescent="0.35">
      <c r="A80">
        <v>79</v>
      </c>
      <c r="B80" t="s">
        <v>181</v>
      </c>
      <c r="C80" s="1">
        <v>46244</v>
      </c>
      <c r="D80" s="1">
        <v>46245</v>
      </c>
      <c r="E80" t="s">
        <v>35</v>
      </c>
      <c r="F80" t="s">
        <v>182</v>
      </c>
      <c r="G80" t="s">
        <v>183</v>
      </c>
      <c r="H80" t="s">
        <v>25</v>
      </c>
      <c r="I80" t="s">
        <v>26</v>
      </c>
      <c r="J80" t="s">
        <v>162</v>
      </c>
      <c r="K80" t="s">
        <v>163</v>
      </c>
      <c r="L80">
        <v>28205</v>
      </c>
      <c r="M80" t="s">
        <v>65</v>
      </c>
      <c r="N80" t="s">
        <v>109</v>
      </c>
      <c r="O80" t="s">
        <v>31</v>
      </c>
      <c r="P80" t="s">
        <v>110</v>
      </c>
      <c r="Q80" t="s">
        <v>111</v>
      </c>
      <c r="R80">
        <v>122.5</v>
      </c>
      <c r="S80">
        <v>7</v>
      </c>
      <c r="T80">
        <v>0.3</v>
      </c>
      <c r="U80">
        <v>10.27</v>
      </c>
    </row>
    <row r="81" spans="1:21" x14ac:dyDescent="0.35">
      <c r="A81">
        <v>80</v>
      </c>
      <c r="B81" t="s">
        <v>184</v>
      </c>
      <c r="C81" s="1">
        <v>45947</v>
      </c>
      <c r="D81" s="1">
        <v>45949</v>
      </c>
      <c r="E81" t="s">
        <v>50</v>
      </c>
      <c r="F81" t="s">
        <v>153</v>
      </c>
      <c r="G81" t="s">
        <v>154</v>
      </c>
      <c r="H81" t="s">
        <v>25</v>
      </c>
      <c r="I81" t="s">
        <v>26</v>
      </c>
      <c r="J81" t="s">
        <v>89</v>
      </c>
      <c r="K81" t="s">
        <v>90</v>
      </c>
      <c r="L81">
        <v>90036</v>
      </c>
      <c r="M81" t="s">
        <v>85</v>
      </c>
      <c r="N81" t="s">
        <v>113</v>
      </c>
      <c r="O81" t="s">
        <v>43</v>
      </c>
      <c r="P81" t="s">
        <v>114</v>
      </c>
      <c r="Q81" t="s">
        <v>115</v>
      </c>
      <c r="R81">
        <v>52.8</v>
      </c>
      <c r="S81">
        <v>6</v>
      </c>
      <c r="T81">
        <v>0.2</v>
      </c>
      <c r="U81">
        <v>10.81</v>
      </c>
    </row>
    <row r="82" spans="1:21" x14ac:dyDescent="0.35">
      <c r="A82">
        <v>81</v>
      </c>
      <c r="B82" t="s">
        <v>184</v>
      </c>
      <c r="C82" s="1">
        <v>45947</v>
      </c>
      <c r="D82" s="1">
        <v>45949</v>
      </c>
      <c r="E82" t="s">
        <v>50</v>
      </c>
      <c r="F82" t="s">
        <v>153</v>
      </c>
      <c r="G82" t="s">
        <v>154</v>
      </c>
      <c r="H82" t="s">
        <v>25</v>
      </c>
      <c r="I82" t="s">
        <v>26</v>
      </c>
      <c r="J82" t="s">
        <v>89</v>
      </c>
      <c r="K82" t="s">
        <v>90</v>
      </c>
      <c r="L82">
        <v>90036</v>
      </c>
      <c r="M82" t="s">
        <v>85</v>
      </c>
      <c r="N82" t="s">
        <v>66</v>
      </c>
      <c r="O82" t="s">
        <v>47</v>
      </c>
      <c r="P82" t="s">
        <v>67</v>
      </c>
      <c r="Q82" t="s">
        <v>68</v>
      </c>
      <c r="R82">
        <v>693</v>
      </c>
      <c r="S82">
        <v>3</v>
      </c>
      <c r="T82">
        <v>0.3</v>
      </c>
      <c r="U82">
        <v>-8.18</v>
      </c>
    </row>
    <row r="83" spans="1:21" x14ac:dyDescent="0.35">
      <c r="A83">
        <v>82</v>
      </c>
      <c r="B83" t="s">
        <v>185</v>
      </c>
      <c r="C83" s="1">
        <v>45901</v>
      </c>
      <c r="D83" s="1">
        <v>45905</v>
      </c>
      <c r="E83" t="s">
        <v>50</v>
      </c>
      <c r="F83" t="s">
        <v>186</v>
      </c>
      <c r="G83" t="s">
        <v>187</v>
      </c>
      <c r="H83" t="s">
        <v>25</v>
      </c>
      <c r="I83" t="s">
        <v>26</v>
      </c>
      <c r="J83" t="s">
        <v>162</v>
      </c>
      <c r="K83" t="s">
        <v>163</v>
      </c>
      <c r="L83">
        <v>28205</v>
      </c>
      <c r="M83" t="s">
        <v>65</v>
      </c>
      <c r="N83" t="s">
        <v>95</v>
      </c>
      <c r="O83" t="s">
        <v>47</v>
      </c>
      <c r="P83" t="s">
        <v>48</v>
      </c>
      <c r="Q83" t="s">
        <v>96</v>
      </c>
      <c r="R83">
        <v>110</v>
      </c>
      <c r="S83">
        <v>5</v>
      </c>
      <c r="T83">
        <v>0</v>
      </c>
      <c r="U83">
        <v>31.71</v>
      </c>
    </row>
    <row r="84" spans="1:21" x14ac:dyDescent="0.35">
      <c r="A84">
        <v>83</v>
      </c>
      <c r="B84" t="s">
        <v>188</v>
      </c>
      <c r="C84" s="1">
        <v>45446</v>
      </c>
      <c r="D84" s="1">
        <v>45450</v>
      </c>
      <c r="E84" t="s">
        <v>50</v>
      </c>
      <c r="F84" t="s">
        <v>133</v>
      </c>
      <c r="G84" t="s">
        <v>134</v>
      </c>
      <c r="H84" t="s">
        <v>62</v>
      </c>
      <c r="I84" t="s">
        <v>26</v>
      </c>
      <c r="J84" t="s">
        <v>135</v>
      </c>
      <c r="K84" t="s">
        <v>136</v>
      </c>
      <c r="L84">
        <v>19140</v>
      </c>
      <c r="M84" t="s">
        <v>29</v>
      </c>
      <c r="N84" t="s">
        <v>66</v>
      </c>
      <c r="O84" t="s">
        <v>47</v>
      </c>
      <c r="P84" t="s">
        <v>67</v>
      </c>
      <c r="Q84" t="s">
        <v>68</v>
      </c>
      <c r="R84">
        <v>660</v>
      </c>
      <c r="S84">
        <v>4</v>
      </c>
      <c r="T84">
        <v>0.5</v>
      </c>
      <c r="U84">
        <v>-87.23</v>
      </c>
    </row>
    <row r="85" spans="1:21" x14ac:dyDescent="0.35">
      <c r="A85">
        <v>84</v>
      </c>
      <c r="B85" t="s">
        <v>188</v>
      </c>
      <c r="C85" s="1">
        <v>45446</v>
      </c>
      <c r="D85" s="1">
        <v>45450</v>
      </c>
      <c r="E85" t="s">
        <v>50</v>
      </c>
      <c r="F85" t="s">
        <v>133</v>
      </c>
      <c r="G85" t="s">
        <v>134</v>
      </c>
      <c r="H85" t="s">
        <v>62</v>
      </c>
      <c r="I85" t="s">
        <v>26</v>
      </c>
      <c r="J85" t="s">
        <v>135</v>
      </c>
      <c r="K85" t="s">
        <v>136</v>
      </c>
      <c r="L85">
        <v>19140</v>
      </c>
      <c r="M85" t="s">
        <v>29</v>
      </c>
      <c r="N85" t="s">
        <v>106</v>
      </c>
      <c r="O85" t="s">
        <v>43</v>
      </c>
      <c r="P85" t="s">
        <v>107</v>
      </c>
      <c r="Q85" t="s">
        <v>108</v>
      </c>
      <c r="R85">
        <v>36</v>
      </c>
      <c r="S85">
        <v>4</v>
      </c>
      <c r="T85">
        <v>0</v>
      </c>
      <c r="U85">
        <v>12.34</v>
      </c>
    </row>
    <row r="86" spans="1:21" x14ac:dyDescent="0.35">
      <c r="A86">
        <v>85</v>
      </c>
      <c r="B86" t="s">
        <v>188</v>
      </c>
      <c r="C86" s="1">
        <v>45446</v>
      </c>
      <c r="D86" s="1">
        <v>45450</v>
      </c>
      <c r="E86" t="s">
        <v>94</v>
      </c>
      <c r="F86" t="s">
        <v>133</v>
      </c>
      <c r="G86" t="s">
        <v>134</v>
      </c>
      <c r="H86" t="s">
        <v>62</v>
      </c>
      <c r="I86" t="s">
        <v>26</v>
      </c>
      <c r="J86" t="s">
        <v>135</v>
      </c>
      <c r="K86" t="s">
        <v>136</v>
      </c>
      <c r="L86">
        <v>19140</v>
      </c>
      <c r="M86" t="s">
        <v>29</v>
      </c>
      <c r="N86" t="s">
        <v>97</v>
      </c>
      <c r="O86" t="s">
        <v>31</v>
      </c>
      <c r="P86" t="s">
        <v>98</v>
      </c>
      <c r="Q86" t="s">
        <v>99</v>
      </c>
      <c r="R86">
        <v>182</v>
      </c>
      <c r="S86">
        <v>1</v>
      </c>
      <c r="T86">
        <v>0.3</v>
      </c>
      <c r="U86">
        <v>-13.18</v>
      </c>
    </row>
    <row r="87" spans="1:21" x14ac:dyDescent="0.35">
      <c r="A87">
        <v>86</v>
      </c>
      <c r="B87" t="s">
        <v>189</v>
      </c>
      <c r="C87" s="1">
        <v>46287</v>
      </c>
      <c r="D87" s="1">
        <v>46293</v>
      </c>
      <c r="E87" t="s">
        <v>94</v>
      </c>
      <c r="F87" t="s">
        <v>190</v>
      </c>
      <c r="G87" t="s">
        <v>191</v>
      </c>
      <c r="H87" t="s">
        <v>38</v>
      </c>
      <c r="I87" t="s">
        <v>26</v>
      </c>
      <c r="J87" t="s">
        <v>131</v>
      </c>
      <c r="K87" t="s">
        <v>90</v>
      </c>
      <c r="L87">
        <v>94122</v>
      </c>
      <c r="M87" t="s">
        <v>85</v>
      </c>
      <c r="N87" t="s">
        <v>109</v>
      </c>
      <c r="O87" t="s">
        <v>31</v>
      </c>
      <c r="P87" t="s">
        <v>110</v>
      </c>
      <c r="Q87" t="s">
        <v>111</v>
      </c>
      <c r="R87">
        <v>150</v>
      </c>
      <c r="S87">
        <v>6</v>
      </c>
      <c r="T87">
        <v>0</v>
      </c>
      <c r="U87">
        <v>40.950000000000003</v>
      </c>
    </row>
    <row r="88" spans="1:21" x14ac:dyDescent="0.35">
      <c r="A88">
        <v>87</v>
      </c>
      <c r="B88" t="s">
        <v>189</v>
      </c>
      <c r="C88" s="1">
        <v>46287</v>
      </c>
      <c r="D88" s="1">
        <v>46293</v>
      </c>
      <c r="E88" t="s">
        <v>50</v>
      </c>
      <c r="F88" t="s">
        <v>190</v>
      </c>
      <c r="G88" t="s">
        <v>191</v>
      </c>
      <c r="H88" t="s">
        <v>38</v>
      </c>
      <c r="I88" t="s">
        <v>26</v>
      </c>
      <c r="J88" t="s">
        <v>131</v>
      </c>
      <c r="K88" t="s">
        <v>90</v>
      </c>
      <c r="L88">
        <v>94122</v>
      </c>
      <c r="M88" t="s">
        <v>85</v>
      </c>
      <c r="N88" t="s">
        <v>66</v>
      </c>
      <c r="O88" t="s">
        <v>47</v>
      </c>
      <c r="P88" t="s">
        <v>67</v>
      </c>
      <c r="Q88" t="s">
        <v>68</v>
      </c>
      <c r="R88">
        <v>891</v>
      </c>
      <c r="S88">
        <v>3</v>
      </c>
      <c r="T88">
        <v>0.1</v>
      </c>
      <c r="U88">
        <v>98.34</v>
      </c>
    </row>
    <row r="89" spans="1:21" x14ac:dyDescent="0.35">
      <c r="A89">
        <v>88</v>
      </c>
      <c r="B89" t="s">
        <v>189</v>
      </c>
      <c r="C89" s="1">
        <v>46287</v>
      </c>
      <c r="D89" s="1">
        <v>46293</v>
      </c>
      <c r="E89" t="s">
        <v>35</v>
      </c>
      <c r="F89" t="s">
        <v>190</v>
      </c>
      <c r="G89" t="s">
        <v>191</v>
      </c>
      <c r="H89" t="s">
        <v>38</v>
      </c>
      <c r="I89" t="s">
        <v>26</v>
      </c>
      <c r="J89" t="s">
        <v>131</v>
      </c>
      <c r="K89" t="s">
        <v>90</v>
      </c>
      <c r="L89">
        <v>94122</v>
      </c>
      <c r="M89" t="s">
        <v>85</v>
      </c>
      <c r="N89" t="s">
        <v>125</v>
      </c>
      <c r="O89" t="s">
        <v>43</v>
      </c>
      <c r="P89" t="s">
        <v>126</v>
      </c>
      <c r="Q89" t="s">
        <v>127</v>
      </c>
      <c r="R89">
        <v>840</v>
      </c>
      <c r="S89">
        <v>7</v>
      </c>
      <c r="T89">
        <v>0</v>
      </c>
      <c r="U89">
        <v>149.72999999999999</v>
      </c>
    </row>
    <row r="90" spans="1:21" x14ac:dyDescent="0.35">
      <c r="A90">
        <v>89</v>
      </c>
      <c r="B90" t="s">
        <v>189</v>
      </c>
      <c r="C90" s="1">
        <v>46287</v>
      </c>
      <c r="D90" s="1">
        <v>46293</v>
      </c>
      <c r="E90" t="s">
        <v>50</v>
      </c>
      <c r="F90" t="s">
        <v>190</v>
      </c>
      <c r="G90" t="s">
        <v>191</v>
      </c>
      <c r="H90" t="s">
        <v>38</v>
      </c>
      <c r="I90" t="s">
        <v>26</v>
      </c>
      <c r="J90" t="s">
        <v>131</v>
      </c>
      <c r="K90" t="s">
        <v>90</v>
      </c>
      <c r="L90">
        <v>94122</v>
      </c>
      <c r="M90" t="s">
        <v>85</v>
      </c>
      <c r="N90" t="s">
        <v>95</v>
      </c>
      <c r="O90" t="s">
        <v>47</v>
      </c>
      <c r="P90" t="s">
        <v>48</v>
      </c>
      <c r="Q90" t="s">
        <v>96</v>
      </c>
      <c r="R90">
        <v>35.200000000000003</v>
      </c>
      <c r="S90">
        <v>2</v>
      </c>
      <c r="T90">
        <v>0.2</v>
      </c>
      <c r="U90">
        <v>6.29</v>
      </c>
    </row>
    <row r="91" spans="1:21" x14ac:dyDescent="0.35">
      <c r="A91">
        <v>90</v>
      </c>
      <c r="B91" t="s">
        <v>192</v>
      </c>
      <c r="C91" s="1">
        <v>46153</v>
      </c>
      <c r="D91" s="1">
        <v>46157</v>
      </c>
      <c r="E91" t="s">
        <v>94</v>
      </c>
      <c r="F91" t="s">
        <v>182</v>
      </c>
      <c r="G91" t="s">
        <v>183</v>
      </c>
      <c r="H91" t="s">
        <v>25</v>
      </c>
      <c r="I91" t="s">
        <v>26</v>
      </c>
      <c r="J91" t="s">
        <v>162</v>
      </c>
      <c r="K91" t="s">
        <v>163</v>
      </c>
      <c r="L91">
        <v>28205</v>
      </c>
      <c r="M91" t="s">
        <v>65</v>
      </c>
      <c r="N91" t="s">
        <v>46</v>
      </c>
      <c r="O91" t="s">
        <v>47</v>
      </c>
      <c r="P91" t="s">
        <v>48</v>
      </c>
      <c r="Q91" t="s">
        <v>49</v>
      </c>
      <c r="R91">
        <v>64</v>
      </c>
      <c r="S91">
        <v>2</v>
      </c>
      <c r="T91">
        <v>0</v>
      </c>
      <c r="U91">
        <v>15.99</v>
      </c>
    </row>
    <row r="92" spans="1:21" x14ac:dyDescent="0.35">
      <c r="A92">
        <v>91</v>
      </c>
      <c r="B92" t="s">
        <v>193</v>
      </c>
      <c r="C92" s="1">
        <v>46000</v>
      </c>
      <c r="D92" s="1">
        <v>46003</v>
      </c>
      <c r="E92" t="s">
        <v>22</v>
      </c>
      <c r="F92" t="s">
        <v>148</v>
      </c>
      <c r="G92" t="s">
        <v>149</v>
      </c>
      <c r="H92" t="s">
        <v>62</v>
      </c>
      <c r="I92" t="s">
        <v>26</v>
      </c>
      <c r="J92" t="s">
        <v>150</v>
      </c>
      <c r="K92" t="s">
        <v>151</v>
      </c>
      <c r="L92">
        <v>33311</v>
      </c>
      <c r="M92" t="s">
        <v>65</v>
      </c>
      <c r="N92" t="s">
        <v>95</v>
      </c>
      <c r="O92" t="s">
        <v>47</v>
      </c>
      <c r="P92" t="s">
        <v>48</v>
      </c>
      <c r="Q92" t="s">
        <v>96</v>
      </c>
      <c r="R92">
        <v>138.6</v>
      </c>
      <c r="S92">
        <v>7</v>
      </c>
      <c r="T92">
        <v>0.1</v>
      </c>
      <c r="U92">
        <v>34.93</v>
      </c>
    </row>
    <row r="93" spans="1:21" x14ac:dyDescent="0.35">
      <c r="A93">
        <v>92</v>
      </c>
      <c r="B93" t="s">
        <v>193</v>
      </c>
      <c r="C93" s="1">
        <v>46000</v>
      </c>
      <c r="D93" s="1">
        <v>46003</v>
      </c>
      <c r="E93" t="s">
        <v>35</v>
      </c>
      <c r="F93" t="s">
        <v>148</v>
      </c>
      <c r="G93" t="s">
        <v>149</v>
      </c>
      <c r="H93" t="s">
        <v>62</v>
      </c>
      <c r="I93" t="s">
        <v>26</v>
      </c>
      <c r="J93" t="s">
        <v>150</v>
      </c>
      <c r="K93" t="s">
        <v>151</v>
      </c>
      <c r="L93">
        <v>33311</v>
      </c>
      <c r="M93" t="s">
        <v>65</v>
      </c>
      <c r="N93" t="s">
        <v>125</v>
      </c>
      <c r="O93" t="s">
        <v>43</v>
      </c>
      <c r="P93" t="s">
        <v>126</v>
      </c>
      <c r="Q93" t="s">
        <v>127</v>
      </c>
      <c r="R93">
        <v>96</v>
      </c>
      <c r="S93">
        <v>1</v>
      </c>
      <c r="T93">
        <v>0.2</v>
      </c>
      <c r="U93">
        <v>5.65</v>
      </c>
    </row>
    <row r="94" spans="1:21" x14ac:dyDescent="0.35">
      <c r="A94">
        <v>93</v>
      </c>
      <c r="B94" t="s">
        <v>194</v>
      </c>
      <c r="C94" s="1">
        <v>45972</v>
      </c>
      <c r="D94" s="1">
        <v>45974</v>
      </c>
      <c r="E94" t="s">
        <v>35</v>
      </c>
      <c r="F94" t="s">
        <v>195</v>
      </c>
      <c r="G94" t="s">
        <v>196</v>
      </c>
      <c r="H94" t="s">
        <v>62</v>
      </c>
      <c r="I94" t="s">
        <v>26</v>
      </c>
      <c r="J94" t="s">
        <v>150</v>
      </c>
      <c r="K94" t="s">
        <v>151</v>
      </c>
      <c r="L94">
        <v>33311</v>
      </c>
      <c r="M94" t="s">
        <v>65</v>
      </c>
      <c r="N94" t="s">
        <v>106</v>
      </c>
      <c r="O94" t="s">
        <v>43</v>
      </c>
      <c r="P94" t="s">
        <v>107</v>
      </c>
      <c r="Q94" t="s">
        <v>108</v>
      </c>
      <c r="R94">
        <v>27</v>
      </c>
      <c r="S94">
        <v>3</v>
      </c>
      <c r="T94">
        <v>0</v>
      </c>
      <c r="U94">
        <v>6.37</v>
      </c>
    </row>
    <row r="95" spans="1:21" x14ac:dyDescent="0.35">
      <c r="A95">
        <v>94</v>
      </c>
      <c r="B95" t="s">
        <v>194</v>
      </c>
      <c r="C95" s="1">
        <v>45972</v>
      </c>
      <c r="D95" s="1">
        <v>45974</v>
      </c>
      <c r="E95" t="s">
        <v>94</v>
      </c>
      <c r="F95" t="s">
        <v>195</v>
      </c>
      <c r="G95" t="s">
        <v>196</v>
      </c>
      <c r="H95" t="s">
        <v>62</v>
      </c>
      <c r="I95" t="s">
        <v>26</v>
      </c>
      <c r="J95" t="s">
        <v>150</v>
      </c>
      <c r="K95" t="s">
        <v>151</v>
      </c>
      <c r="L95">
        <v>33311</v>
      </c>
      <c r="M95" t="s">
        <v>65</v>
      </c>
      <c r="N95" t="s">
        <v>121</v>
      </c>
      <c r="O95" t="s">
        <v>47</v>
      </c>
      <c r="P95" t="s">
        <v>122</v>
      </c>
      <c r="Q95" t="s">
        <v>123</v>
      </c>
      <c r="R95">
        <v>2700</v>
      </c>
      <c r="S95">
        <v>5</v>
      </c>
      <c r="T95">
        <v>0</v>
      </c>
      <c r="U95">
        <v>511.44</v>
      </c>
    </row>
    <row r="96" spans="1:21" x14ac:dyDescent="0.35">
      <c r="A96">
        <v>95</v>
      </c>
      <c r="B96" t="s">
        <v>194</v>
      </c>
      <c r="C96" s="1">
        <v>45972</v>
      </c>
      <c r="D96" s="1">
        <v>45974</v>
      </c>
      <c r="E96" t="s">
        <v>22</v>
      </c>
      <c r="F96" t="s">
        <v>195</v>
      </c>
      <c r="G96" t="s">
        <v>196</v>
      </c>
      <c r="H96" t="s">
        <v>62</v>
      </c>
      <c r="I96" t="s">
        <v>26</v>
      </c>
      <c r="J96" t="s">
        <v>150</v>
      </c>
      <c r="K96" t="s">
        <v>151</v>
      </c>
      <c r="L96">
        <v>33311</v>
      </c>
      <c r="M96" t="s">
        <v>65</v>
      </c>
      <c r="N96" t="s">
        <v>97</v>
      </c>
      <c r="O96" t="s">
        <v>31</v>
      </c>
      <c r="P96" t="s">
        <v>98</v>
      </c>
      <c r="Q96" t="s">
        <v>99</v>
      </c>
      <c r="R96">
        <v>520</v>
      </c>
      <c r="S96">
        <v>2</v>
      </c>
      <c r="T96">
        <v>0</v>
      </c>
      <c r="U96">
        <v>50.91</v>
      </c>
    </row>
    <row r="97" spans="1:21" x14ac:dyDescent="0.35">
      <c r="A97">
        <v>96</v>
      </c>
      <c r="B97" t="s">
        <v>194</v>
      </c>
      <c r="C97" s="1">
        <v>45972</v>
      </c>
      <c r="D97" s="1">
        <v>45974</v>
      </c>
      <c r="E97" t="s">
        <v>50</v>
      </c>
      <c r="F97" t="s">
        <v>195</v>
      </c>
      <c r="G97" t="s">
        <v>196</v>
      </c>
      <c r="H97" t="s">
        <v>62</v>
      </c>
      <c r="I97" t="s">
        <v>26</v>
      </c>
      <c r="J97" t="s">
        <v>150</v>
      </c>
      <c r="K97" t="s">
        <v>151</v>
      </c>
      <c r="L97">
        <v>33311</v>
      </c>
      <c r="M97" t="s">
        <v>65</v>
      </c>
      <c r="N97" t="s">
        <v>51</v>
      </c>
      <c r="O97" t="s">
        <v>43</v>
      </c>
      <c r="P97" t="s">
        <v>52</v>
      </c>
      <c r="Q97" t="s">
        <v>53</v>
      </c>
      <c r="R97">
        <v>8</v>
      </c>
      <c r="S97">
        <v>1</v>
      </c>
      <c r="T97">
        <v>0</v>
      </c>
      <c r="U97">
        <v>3.8</v>
      </c>
    </row>
    <row r="98" spans="1:21" x14ac:dyDescent="0.35">
      <c r="A98">
        <v>97</v>
      </c>
      <c r="B98" t="s">
        <v>197</v>
      </c>
      <c r="C98" s="1">
        <v>45715</v>
      </c>
      <c r="D98" s="1">
        <v>45718</v>
      </c>
      <c r="E98" t="s">
        <v>94</v>
      </c>
      <c r="F98" t="s">
        <v>153</v>
      </c>
      <c r="G98" t="s">
        <v>154</v>
      </c>
      <c r="H98" t="s">
        <v>25</v>
      </c>
      <c r="I98" t="s">
        <v>26</v>
      </c>
      <c r="J98" t="s">
        <v>89</v>
      </c>
      <c r="K98" t="s">
        <v>90</v>
      </c>
      <c r="L98">
        <v>90036</v>
      </c>
      <c r="M98" t="s">
        <v>85</v>
      </c>
      <c r="N98" t="s">
        <v>69</v>
      </c>
      <c r="O98" t="s">
        <v>43</v>
      </c>
      <c r="P98" t="s">
        <v>70</v>
      </c>
      <c r="Q98" t="s">
        <v>71</v>
      </c>
      <c r="R98">
        <v>40.5</v>
      </c>
      <c r="S98">
        <v>1</v>
      </c>
      <c r="T98">
        <v>0.1</v>
      </c>
      <c r="U98">
        <v>1.65</v>
      </c>
    </row>
    <row r="99" spans="1:21" x14ac:dyDescent="0.35">
      <c r="A99">
        <v>98</v>
      </c>
      <c r="B99" t="s">
        <v>197</v>
      </c>
      <c r="C99" s="1">
        <v>45715</v>
      </c>
      <c r="D99" s="1">
        <v>45718</v>
      </c>
      <c r="E99" t="s">
        <v>35</v>
      </c>
      <c r="F99" t="s">
        <v>153</v>
      </c>
      <c r="G99" t="s">
        <v>154</v>
      </c>
      <c r="H99" t="s">
        <v>25</v>
      </c>
      <c r="I99" t="s">
        <v>26</v>
      </c>
      <c r="J99" t="s">
        <v>89</v>
      </c>
      <c r="K99" t="s">
        <v>90</v>
      </c>
      <c r="L99">
        <v>90036</v>
      </c>
      <c r="M99" t="s">
        <v>85</v>
      </c>
      <c r="N99" t="s">
        <v>106</v>
      </c>
      <c r="O99" t="s">
        <v>43</v>
      </c>
      <c r="P99" t="s">
        <v>107</v>
      </c>
      <c r="Q99" t="s">
        <v>108</v>
      </c>
      <c r="R99">
        <v>45</v>
      </c>
      <c r="S99">
        <v>5</v>
      </c>
      <c r="T99">
        <v>0</v>
      </c>
      <c r="U99">
        <v>14.83</v>
      </c>
    </row>
    <row r="100" spans="1:21" x14ac:dyDescent="0.35">
      <c r="A100">
        <v>99</v>
      </c>
      <c r="B100" t="s">
        <v>197</v>
      </c>
      <c r="C100" s="1">
        <v>45715</v>
      </c>
      <c r="D100" s="1">
        <v>45718</v>
      </c>
      <c r="E100" t="s">
        <v>50</v>
      </c>
      <c r="F100" t="s">
        <v>153</v>
      </c>
      <c r="G100" t="s">
        <v>154</v>
      </c>
      <c r="H100" t="s">
        <v>25</v>
      </c>
      <c r="I100" t="s">
        <v>26</v>
      </c>
      <c r="J100" t="s">
        <v>89</v>
      </c>
      <c r="K100" t="s">
        <v>90</v>
      </c>
      <c r="L100">
        <v>90036</v>
      </c>
      <c r="M100" t="s">
        <v>85</v>
      </c>
      <c r="N100" t="s">
        <v>113</v>
      </c>
      <c r="O100" t="s">
        <v>43</v>
      </c>
      <c r="P100" t="s">
        <v>114</v>
      </c>
      <c r="Q100" t="s">
        <v>115</v>
      </c>
      <c r="R100">
        <v>77</v>
      </c>
      <c r="S100">
        <v>7</v>
      </c>
      <c r="T100">
        <v>0</v>
      </c>
      <c r="U100">
        <v>27.13</v>
      </c>
    </row>
    <row r="101" spans="1:21" x14ac:dyDescent="0.35">
      <c r="A101">
        <v>100</v>
      </c>
      <c r="B101" t="s">
        <v>198</v>
      </c>
      <c r="C101" s="1">
        <v>45627</v>
      </c>
      <c r="D101" s="1">
        <v>45632</v>
      </c>
      <c r="E101" t="s">
        <v>35</v>
      </c>
      <c r="F101" t="s">
        <v>23</v>
      </c>
      <c r="G101" t="s">
        <v>24</v>
      </c>
      <c r="H101" t="s">
        <v>25</v>
      </c>
      <c r="I101" t="s">
        <v>26</v>
      </c>
      <c r="J101" t="s">
        <v>27</v>
      </c>
      <c r="K101" t="s">
        <v>28</v>
      </c>
      <c r="M101" t="s">
        <v>29</v>
      </c>
      <c r="N101" t="s">
        <v>106</v>
      </c>
      <c r="O101" t="s">
        <v>43</v>
      </c>
      <c r="P101" t="s">
        <v>107</v>
      </c>
      <c r="Q101" t="s">
        <v>108</v>
      </c>
      <c r="R101">
        <v>18.899999999999999</v>
      </c>
      <c r="S101">
        <v>3</v>
      </c>
      <c r="T101">
        <v>0.3</v>
      </c>
      <c r="U101">
        <v>0.64</v>
      </c>
    </row>
    <row r="102" spans="1:21" x14ac:dyDescent="0.35">
      <c r="A102">
        <v>101</v>
      </c>
      <c r="B102" t="s">
        <v>198</v>
      </c>
      <c r="C102" s="1">
        <v>45627</v>
      </c>
      <c r="D102" s="1">
        <v>45632</v>
      </c>
      <c r="E102" t="s">
        <v>50</v>
      </c>
      <c r="F102" t="s">
        <v>23</v>
      </c>
      <c r="G102" t="s">
        <v>24</v>
      </c>
      <c r="H102" t="s">
        <v>25</v>
      </c>
      <c r="I102" t="s">
        <v>26</v>
      </c>
      <c r="J102" t="s">
        <v>27</v>
      </c>
      <c r="K102" t="s">
        <v>28</v>
      </c>
      <c r="M102" t="s">
        <v>29</v>
      </c>
      <c r="N102" t="s">
        <v>42</v>
      </c>
      <c r="O102" t="s">
        <v>43</v>
      </c>
      <c r="P102" t="s">
        <v>44</v>
      </c>
      <c r="Q102" t="s">
        <v>45</v>
      </c>
      <c r="R102">
        <v>28</v>
      </c>
      <c r="S102">
        <v>2</v>
      </c>
      <c r="T102">
        <v>0</v>
      </c>
      <c r="U102">
        <v>11.75</v>
      </c>
    </row>
    <row r="103" spans="1:21" x14ac:dyDescent="0.35">
      <c r="A103">
        <v>102</v>
      </c>
      <c r="B103" t="s">
        <v>198</v>
      </c>
      <c r="C103" s="1">
        <v>45627</v>
      </c>
      <c r="D103" s="1">
        <v>45632</v>
      </c>
      <c r="E103" t="s">
        <v>35</v>
      </c>
      <c r="F103" t="s">
        <v>23</v>
      </c>
      <c r="G103" t="s">
        <v>24</v>
      </c>
      <c r="H103" t="s">
        <v>25</v>
      </c>
      <c r="I103" t="s">
        <v>26</v>
      </c>
      <c r="J103" t="s">
        <v>27</v>
      </c>
      <c r="K103" t="s">
        <v>28</v>
      </c>
      <c r="M103" t="s">
        <v>29</v>
      </c>
      <c r="N103" t="s">
        <v>77</v>
      </c>
      <c r="O103" t="s">
        <v>31</v>
      </c>
      <c r="P103" t="s">
        <v>78</v>
      </c>
      <c r="Q103" t="s">
        <v>79</v>
      </c>
      <c r="R103">
        <v>2100</v>
      </c>
      <c r="S103">
        <v>5</v>
      </c>
      <c r="T103">
        <v>0</v>
      </c>
      <c r="U103">
        <v>-104.02</v>
      </c>
    </row>
    <row r="104" spans="1:21" x14ac:dyDescent="0.35">
      <c r="A104">
        <v>103</v>
      </c>
      <c r="B104" t="s">
        <v>198</v>
      </c>
      <c r="C104" s="1">
        <v>45627</v>
      </c>
      <c r="D104" s="1">
        <v>45632</v>
      </c>
      <c r="E104" t="s">
        <v>50</v>
      </c>
      <c r="F104" t="s">
        <v>23</v>
      </c>
      <c r="G104" t="s">
        <v>24</v>
      </c>
      <c r="H104" t="s">
        <v>25</v>
      </c>
      <c r="I104" t="s">
        <v>26</v>
      </c>
      <c r="J104" t="s">
        <v>27</v>
      </c>
      <c r="K104" t="s">
        <v>28</v>
      </c>
      <c r="M104" t="s">
        <v>29</v>
      </c>
      <c r="N104" t="s">
        <v>121</v>
      </c>
      <c r="O104" t="s">
        <v>47</v>
      </c>
      <c r="P104" t="s">
        <v>122</v>
      </c>
      <c r="Q104" t="s">
        <v>123</v>
      </c>
      <c r="R104">
        <v>540</v>
      </c>
      <c r="S104">
        <v>1</v>
      </c>
      <c r="T104">
        <v>0</v>
      </c>
      <c r="U104">
        <v>104.52</v>
      </c>
    </row>
    <row r="105" spans="1:21" x14ac:dyDescent="0.35">
      <c r="A105">
        <v>104</v>
      </c>
      <c r="B105" t="s">
        <v>199</v>
      </c>
      <c r="C105" s="1">
        <v>45571</v>
      </c>
      <c r="D105" s="1">
        <v>45573</v>
      </c>
      <c r="E105" t="s">
        <v>22</v>
      </c>
      <c r="F105" t="s">
        <v>200</v>
      </c>
      <c r="G105" t="s">
        <v>201</v>
      </c>
      <c r="H105" t="s">
        <v>62</v>
      </c>
      <c r="I105" t="s">
        <v>26</v>
      </c>
      <c r="J105" t="s">
        <v>75</v>
      </c>
      <c r="K105" t="s">
        <v>76</v>
      </c>
      <c r="L105">
        <v>2110</v>
      </c>
      <c r="M105" t="s">
        <v>29</v>
      </c>
      <c r="N105" t="s">
        <v>66</v>
      </c>
      <c r="O105" t="s">
        <v>47</v>
      </c>
      <c r="P105" t="s">
        <v>67</v>
      </c>
      <c r="Q105" t="s">
        <v>68</v>
      </c>
      <c r="R105">
        <v>891</v>
      </c>
      <c r="S105">
        <v>3</v>
      </c>
      <c r="T105">
        <v>0.1</v>
      </c>
      <c r="U105">
        <v>99.54</v>
      </c>
    </row>
    <row r="106" spans="1:21" x14ac:dyDescent="0.35">
      <c r="A106">
        <v>105</v>
      </c>
      <c r="B106" t="s">
        <v>202</v>
      </c>
      <c r="C106" s="1">
        <v>46242</v>
      </c>
      <c r="D106" s="1">
        <v>46248</v>
      </c>
      <c r="E106" t="s">
        <v>35</v>
      </c>
      <c r="F106" t="s">
        <v>203</v>
      </c>
      <c r="G106" t="s">
        <v>204</v>
      </c>
      <c r="H106" t="s">
        <v>38</v>
      </c>
      <c r="I106" t="s">
        <v>26</v>
      </c>
      <c r="J106" t="s">
        <v>75</v>
      </c>
      <c r="K106" t="s">
        <v>76</v>
      </c>
      <c r="L106">
        <v>2110</v>
      </c>
      <c r="M106" t="s">
        <v>29</v>
      </c>
      <c r="N106" t="s">
        <v>66</v>
      </c>
      <c r="O106" t="s">
        <v>47</v>
      </c>
      <c r="P106" t="s">
        <v>67</v>
      </c>
      <c r="Q106" t="s">
        <v>68</v>
      </c>
      <c r="R106">
        <v>231</v>
      </c>
      <c r="S106">
        <v>1</v>
      </c>
      <c r="T106">
        <v>0.3</v>
      </c>
      <c r="U106">
        <v>-1.66</v>
      </c>
    </row>
    <row r="107" spans="1:21" x14ac:dyDescent="0.35">
      <c r="A107">
        <v>106</v>
      </c>
      <c r="B107" t="s">
        <v>202</v>
      </c>
      <c r="C107" s="1">
        <v>46242</v>
      </c>
      <c r="D107" s="1">
        <v>46248</v>
      </c>
      <c r="E107" t="s">
        <v>35</v>
      </c>
      <c r="F107" t="s">
        <v>203</v>
      </c>
      <c r="G107" t="s">
        <v>204</v>
      </c>
      <c r="H107" t="s">
        <v>38</v>
      </c>
      <c r="I107" t="s">
        <v>26</v>
      </c>
      <c r="J107" t="s">
        <v>75</v>
      </c>
      <c r="K107" t="s">
        <v>76</v>
      </c>
      <c r="L107">
        <v>2110</v>
      </c>
      <c r="M107" t="s">
        <v>29</v>
      </c>
      <c r="N107" t="s">
        <v>51</v>
      </c>
      <c r="O107" t="s">
        <v>43</v>
      </c>
      <c r="P107" t="s">
        <v>52</v>
      </c>
      <c r="Q107" t="s">
        <v>53</v>
      </c>
      <c r="R107">
        <v>16</v>
      </c>
      <c r="S107">
        <v>2</v>
      </c>
      <c r="T107">
        <v>0</v>
      </c>
      <c r="U107">
        <v>3.39</v>
      </c>
    </row>
    <row r="108" spans="1:21" x14ac:dyDescent="0.35">
      <c r="A108">
        <v>107</v>
      </c>
      <c r="B108" t="s">
        <v>202</v>
      </c>
      <c r="C108" s="1">
        <v>46242</v>
      </c>
      <c r="D108" s="1">
        <v>46248</v>
      </c>
      <c r="E108" t="s">
        <v>94</v>
      </c>
      <c r="F108" t="s">
        <v>203</v>
      </c>
      <c r="G108" t="s">
        <v>204</v>
      </c>
      <c r="H108" t="s">
        <v>38</v>
      </c>
      <c r="I108" t="s">
        <v>26</v>
      </c>
      <c r="J108" t="s">
        <v>75</v>
      </c>
      <c r="K108" t="s">
        <v>76</v>
      </c>
      <c r="L108">
        <v>2110</v>
      </c>
      <c r="M108" t="s">
        <v>29</v>
      </c>
      <c r="N108" t="s">
        <v>42</v>
      </c>
      <c r="O108" t="s">
        <v>43</v>
      </c>
      <c r="P108" t="s">
        <v>44</v>
      </c>
      <c r="Q108" t="s">
        <v>45</v>
      </c>
      <c r="R108">
        <v>44.8</v>
      </c>
      <c r="S108">
        <v>4</v>
      </c>
      <c r="T108">
        <v>0.2</v>
      </c>
      <c r="U108">
        <v>10.93</v>
      </c>
    </row>
    <row r="109" spans="1:21" x14ac:dyDescent="0.35">
      <c r="A109">
        <v>108</v>
      </c>
      <c r="B109" t="s">
        <v>202</v>
      </c>
      <c r="C109" s="1">
        <v>46242</v>
      </c>
      <c r="D109" s="1">
        <v>46248</v>
      </c>
      <c r="E109" t="s">
        <v>35</v>
      </c>
      <c r="F109" t="s">
        <v>203</v>
      </c>
      <c r="G109" t="s">
        <v>204</v>
      </c>
      <c r="H109" t="s">
        <v>38</v>
      </c>
      <c r="I109" t="s">
        <v>26</v>
      </c>
      <c r="J109" t="s">
        <v>75</v>
      </c>
      <c r="K109" t="s">
        <v>76</v>
      </c>
      <c r="L109">
        <v>2110</v>
      </c>
      <c r="M109" t="s">
        <v>29</v>
      </c>
      <c r="N109" t="s">
        <v>103</v>
      </c>
      <c r="O109" t="s">
        <v>47</v>
      </c>
      <c r="P109" t="s">
        <v>104</v>
      </c>
      <c r="Q109" t="s">
        <v>105</v>
      </c>
      <c r="R109">
        <v>1780</v>
      </c>
      <c r="S109">
        <v>2</v>
      </c>
      <c r="T109">
        <v>0</v>
      </c>
      <c r="U109">
        <v>355.32</v>
      </c>
    </row>
    <row r="110" spans="1:21" x14ac:dyDescent="0.35">
      <c r="A110">
        <v>109</v>
      </c>
      <c r="B110" t="s">
        <v>205</v>
      </c>
      <c r="C110" s="1">
        <v>45545</v>
      </c>
      <c r="D110" s="1">
        <v>45550</v>
      </c>
      <c r="E110" t="s">
        <v>94</v>
      </c>
      <c r="F110" t="s">
        <v>206</v>
      </c>
      <c r="G110" t="s">
        <v>207</v>
      </c>
      <c r="H110" t="s">
        <v>25</v>
      </c>
      <c r="I110" t="s">
        <v>26</v>
      </c>
      <c r="J110" t="s">
        <v>119</v>
      </c>
      <c r="K110" t="s">
        <v>120</v>
      </c>
      <c r="L110">
        <v>97206</v>
      </c>
      <c r="M110" t="s">
        <v>85</v>
      </c>
      <c r="N110" t="s">
        <v>121</v>
      </c>
      <c r="O110" t="s">
        <v>47</v>
      </c>
      <c r="P110" t="s">
        <v>122</v>
      </c>
      <c r="Q110" t="s">
        <v>123</v>
      </c>
      <c r="R110">
        <v>540</v>
      </c>
      <c r="S110">
        <v>1</v>
      </c>
      <c r="T110">
        <v>0</v>
      </c>
      <c r="U110">
        <v>103.68</v>
      </c>
    </row>
    <row r="111" spans="1:21" x14ac:dyDescent="0.35">
      <c r="A111">
        <v>110</v>
      </c>
      <c r="B111" t="s">
        <v>208</v>
      </c>
      <c r="C111" s="1">
        <v>45454</v>
      </c>
      <c r="D111" s="1">
        <v>45455</v>
      </c>
      <c r="E111" t="s">
        <v>50</v>
      </c>
      <c r="F111" t="s">
        <v>169</v>
      </c>
      <c r="G111" t="s">
        <v>170</v>
      </c>
      <c r="H111" t="s">
        <v>38</v>
      </c>
      <c r="I111" t="s">
        <v>26</v>
      </c>
      <c r="J111" t="s">
        <v>57</v>
      </c>
      <c r="K111" t="s">
        <v>58</v>
      </c>
      <c r="L111">
        <v>10009</v>
      </c>
      <c r="M111" t="s">
        <v>29</v>
      </c>
      <c r="N111" t="s">
        <v>30</v>
      </c>
      <c r="O111" t="s">
        <v>31</v>
      </c>
      <c r="P111" t="s">
        <v>32</v>
      </c>
      <c r="Q111" t="s">
        <v>33</v>
      </c>
      <c r="R111">
        <v>690</v>
      </c>
      <c r="S111">
        <v>6</v>
      </c>
      <c r="T111">
        <v>0.5</v>
      </c>
      <c r="U111">
        <v>-122.82</v>
      </c>
    </row>
    <row r="112" spans="1:21" x14ac:dyDescent="0.35">
      <c r="A112">
        <v>111</v>
      </c>
      <c r="B112" t="s">
        <v>208</v>
      </c>
      <c r="C112" s="1">
        <v>45454</v>
      </c>
      <c r="D112" s="1">
        <v>45455</v>
      </c>
      <c r="E112" t="s">
        <v>50</v>
      </c>
      <c r="F112" t="s">
        <v>169</v>
      </c>
      <c r="G112" t="s">
        <v>170</v>
      </c>
      <c r="H112" t="s">
        <v>38</v>
      </c>
      <c r="I112" t="s">
        <v>26</v>
      </c>
      <c r="J112" t="s">
        <v>57</v>
      </c>
      <c r="K112" t="s">
        <v>58</v>
      </c>
      <c r="L112">
        <v>10009</v>
      </c>
      <c r="M112" t="s">
        <v>29</v>
      </c>
      <c r="N112" t="s">
        <v>46</v>
      </c>
      <c r="O112" t="s">
        <v>47</v>
      </c>
      <c r="P112" t="s">
        <v>48</v>
      </c>
      <c r="Q112" t="s">
        <v>49</v>
      </c>
      <c r="R112">
        <v>192</v>
      </c>
      <c r="S112">
        <v>6</v>
      </c>
      <c r="T112">
        <v>0</v>
      </c>
      <c r="U112">
        <v>41.89</v>
      </c>
    </row>
    <row r="113" spans="1:21" x14ac:dyDescent="0.35">
      <c r="A113">
        <v>112</v>
      </c>
      <c r="B113" t="s">
        <v>208</v>
      </c>
      <c r="C113" s="1">
        <v>45454</v>
      </c>
      <c r="D113" s="1">
        <v>45455</v>
      </c>
      <c r="E113" t="s">
        <v>35</v>
      </c>
      <c r="F113" t="s">
        <v>169</v>
      </c>
      <c r="G113" t="s">
        <v>170</v>
      </c>
      <c r="H113" t="s">
        <v>38</v>
      </c>
      <c r="I113" t="s">
        <v>26</v>
      </c>
      <c r="J113" t="s">
        <v>57</v>
      </c>
      <c r="K113" t="s">
        <v>58</v>
      </c>
      <c r="L113">
        <v>10009</v>
      </c>
      <c r="M113" t="s">
        <v>29</v>
      </c>
      <c r="N113" t="s">
        <v>77</v>
      </c>
      <c r="O113" t="s">
        <v>31</v>
      </c>
      <c r="P113" t="s">
        <v>78</v>
      </c>
      <c r="Q113" t="s">
        <v>79</v>
      </c>
      <c r="R113">
        <v>1680</v>
      </c>
      <c r="S113">
        <v>5</v>
      </c>
      <c r="T113">
        <v>0.2</v>
      </c>
      <c r="U113">
        <v>-284.32</v>
      </c>
    </row>
    <row r="114" spans="1:21" x14ac:dyDescent="0.35">
      <c r="A114">
        <v>113</v>
      </c>
      <c r="B114" t="s">
        <v>209</v>
      </c>
      <c r="C114" s="1">
        <v>45406</v>
      </c>
      <c r="D114" s="1">
        <v>45407</v>
      </c>
      <c r="E114" t="s">
        <v>22</v>
      </c>
      <c r="F114" t="s">
        <v>210</v>
      </c>
      <c r="G114" t="s">
        <v>211</v>
      </c>
      <c r="H114" t="s">
        <v>25</v>
      </c>
      <c r="I114" t="s">
        <v>26</v>
      </c>
      <c r="J114" t="s">
        <v>39</v>
      </c>
      <c r="K114" t="s">
        <v>40</v>
      </c>
      <c r="L114">
        <v>53711</v>
      </c>
      <c r="M114" t="s">
        <v>41</v>
      </c>
      <c r="N114" t="s">
        <v>66</v>
      </c>
      <c r="O114" t="s">
        <v>47</v>
      </c>
      <c r="P114" t="s">
        <v>67</v>
      </c>
      <c r="Q114" t="s">
        <v>68</v>
      </c>
      <c r="R114">
        <v>1320</v>
      </c>
      <c r="S114">
        <v>5</v>
      </c>
      <c r="T114">
        <v>0.2</v>
      </c>
      <c r="U114">
        <v>64.31</v>
      </c>
    </row>
    <row r="115" spans="1:21" x14ac:dyDescent="0.35">
      <c r="A115">
        <v>114</v>
      </c>
      <c r="B115" t="s">
        <v>209</v>
      </c>
      <c r="C115" s="1">
        <v>45406</v>
      </c>
      <c r="D115" s="1">
        <v>45407</v>
      </c>
      <c r="E115" t="s">
        <v>50</v>
      </c>
      <c r="F115" t="s">
        <v>210</v>
      </c>
      <c r="G115" t="s">
        <v>211</v>
      </c>
      <c r="H115" t="s">
        <v>25</v>
      </c>
      <c r="I115" t="s">
        <v>26</v>
      </c>
      <c r="J115" t="s">
        <v>39</v>
      </c>
      <c r="K115" t="s">
        <v>40</v>
      </c>
      <c r="L115">
        <v>53711</v>
      </c>
      <c r="M115" t="s">
        <v>41</v>
      </c>
      <c r="N115" t="s">
        <v>121</v>
      </c>
      <c r="O115" t="s">
        <v>47</v>
      </c>
      <c r="P115" t="s">
        <v>122</v>
      </c>
      <c r="Q115" t="s">
        <v>123</v>
      </c>
      <c r="R115">
        <v>3240</v>
      </c>
      <c r="S115">
        <v>6</v>
      </c>
      <c r="T115">
        <v>0</v>
      </c>
      <c r="U115">
        <v>613.9</v>
      </c>
    </row>
    <row r="116" spans="1:21" x14ac:dyDescent="0.35">
      <c r="A116">
        <v>115</v>
      </c>
      <c r="B116" t="s">
        <v>212</v>
      </c>
      <c r="C116" s="1">
        <v>45598</v>
      </c>
      <c r="D116" s="1">
        <v>45604</v>
      </c>
      <c r="E116" t="s">
        <v>22</v>
      </c>
      <c r="F116" t="s">
        <v>213</v>
      </c>
      <c r="G116" t="s">
        <v>214</v>
      </c>
      <c r="H116" t="s">
        <v>25</v>
      </c>
      <c r="I116" t="s">
        <v>26</v>
      </c>
      <c r="J116" t="s">
        <v>75</v>
      </c>
      <c r="K116" t="s">
        <v>76</v>
      </c>
      <c r="L116">
        <v>2110</v>
      </c>
      <c r="M116" t="s">
        <v>29</v>
      </c>
      <c r="N116" t="s">
        <v>95</v>
      </c>
      <c r="O116" t="s">
        <v>47</v>
      </c>
      <c r="P116" t="s">
        <v>48</v>
      </c>
      <c r="Q116" t="s">
        <v>96</v>
      </c>
      <c r="R116">
        <v>154</v>
      </c>
      <c r="S116">
        <v>7</v>
      </c>
      <c r="T116">
        <v>0</v>
      </c>
      <c r="U116">
        <v>45.38</v>
      </c>
    </row>
    <row r="117" spans="1:21" x14ac:dyDescent="0.35">
      <c r="A117">
        <v>116</v>
      </c>
      <c r="B117" t="s">
        <v>212</v>
      </c>
      <c r="C117" s="1">
        <v>45598</v>
      </c>
      <c r="D117" s="1">
        <v>45604</v>
      </c>
      <c r="E117" t="s">
        <v>35</v>
      </c>
      <c r="F117" t="s">
        <v>213</v>
      </c>
      <c r="G117" t="s">
        <v>214</v>
      </c>
      <c r="H117" t="s">
        <v>25</v>
      </c>
      <c r="I117" t="s">
        <v>26</v>
      </c>
      <c r="J117" t="s">
        <v>75</v>
      </c>
      <c r="K117" t="s">
        <v>76</v>
      </c>
      <c r="L117">
        <v>2110</v>
      </c>
      <c r="M117" t="s">
        <v>29</v>
      </c>
      <c r="N117" t="s">
        <v>77</v>
      </c>
      <c r="O117" t="s">
        <v>31</v>
      </c>
      <c r="P117" t="s">
        <v>78</v>
      </c>
      <c r="Q117" t="s">
        <v>79</v>
      </c>
      <c r="R117">
        <v>420</v>
      </c>
      <c r="S117">
        <v>1</v>
      </c>
      <c r="T117">
        <v>0</v>
      </c>
      <c r="U117">
        <v>-21.26</v>
      </c>
    </row>
    <row r="118" spans="1:21" x14ac:dyDescent="0.35">
      <c r="A118">
        <v>117</v>
      </c>
      <c r="B118" t="s">
        <v>212</v>
      </c>
      <c r="C118" s="1">
        <v>45598</v>
      </c>
      <c r="D118" s="1">
        <v>45604</v>
      </c>
      <c r="E118" t="s">
        <v>35</v>
      </c>
      <c r="F118" t="s">
        <v>213</v>
      </c>
      <c r="G118" t="s">
        <v>214</v>
      </c>
      <c r="H118" t="s">
        <v>25</v>
      </c>
      <c r="I118" t="s">
        <v>26</v>
      </c>
      <c r="J118" t="s">
        <v>75</v>
      </c>
      <c r="K118" t="s">
        <v>76</v>
      </c>
      <c r="L118">
        <v>2110</v>
      </c>
      <c r="M118" t="s">
        <v>29</v>
      </c>
      <c r="N118" t="s">
        <v>51</v>
      </c>
      <c r="O118" t="s">
        <v>43</v>
      </c>
      <c r="P118" t="s">
        <v>52</v>
      </c>
      <c r="Q118" t="s">
        <v>53</v>
      </c>
      <c r="R118">
        <v>12.8</v>
      </c>
      <c r="S118">
        <v>2</v>
      </c>
      <c r="T118">
        <v>0.2</v>
      </c>
      <c r="U118">
        <v>3.25</v>
      </c>
    </row>
    <row r="119" spans="1:21" x14ac:dyDescent="0.35">
      <c r="A119">
        <v>118</v>
      </c>
      <c r="B119" t="s">
        <v>212</v>
      </c>
      <c r="C119" s="1">
        <v>45598</v>
      </c>
      <c r="D119" s="1">
        <v>45604</v>
      </c>
      <c r="E119" t="s">
        <v>22</v>
      </c>
      <c r="F119" t="s">
        <v>213</v>
      </c>
      <c r="G119" t="s">
        <v>214</v>
      </c>
      <c r="H119" t="s">
        <v>25</v>
      </c>
      <c r="I119" t="s">
        <v>26</v>
      </c>
      <c r="J119" t="s">
        <v>75</v>
      </c>
      <c r="K119" t="s">
        <v>76</v>
      </c>
      <c r="L119">
        <v>2110</v>
      </c>
      <c r="M119" t="s">
        <v>29</v>
      </c>
      <c r="N119" t="s">
        <v>46</v>
      </c>
      <c r="O119" t="s">
        <v>47</v>
      </c>
      <c r="P119" t="s">
        <v>48</v>
      </c>
      <c r="Q119" t="s">
        <v>49</v>
      </c>
      <c r="R119">
        <v>134.4</v>
      </c>
      <c r="S119">
        <v>6</v>
      </c>
      <c r="T119">
        <v>0.3</v>
      </c>
      <c r="U119">
        <v>5.65</v>
      </c>
    </row>
    <row r="120" spans="1:21" x14ac:dyDescent="0.35">
      <c r="A120">
        <v>119</v>
      </c>
      <c r="B120" t="s">
        <v>215</v>
      </c>
      <c r="C120" s="1">
        <v>46197</v>
      </c>
      <c r="D120" s="1">
        <v>46199</v>
      </c>
      <c r="E120" t="s">
        <v>50</v>
      </c>
      <c r="F120" t="s">
        <v>195</v>
      </c>
      <c r="G120" t="s">
        <v>196</v>
      </c>
      <c r="H120" t="s">
        <v>62</v>
      </c>
      <c r="I120" t="s">
        <v>26</v>
      </c>
      <c r="J120" t="s">
        <v>150</v>
      </c>
      <c r="K120" t="s">
        <v>151</v>
      </c>
      <c r="L120">
        <v>33311</v>
      </c>
      <c r="M120" t="s">
        <v>65</v>
      </c>
      <c r="N120" t="s">
        <v>106</v>
      </c>
      <c r="O120" t="s">
        <v>43</v>
      </c>
      <c r="P120" t="s">
        <v>107</v>
      </c>
      <c r="Q120" t="s">
        <v>108</v>
      </c>
      <c r="R120">
        <v>9</v>
      </c>
      <c r="S120">
        <v>1</v>
      </c>
      <c r="T120">
        <v>0</v>
      </c>
      <c r="U120">
        <v>2.86</v>
      </c>
    </row>
    <row r="121" spans="1:21" x14ac:dyDescent="0.35">
      <c r="A121">
        <v>120</v>
      </c>
      <c r="B121" t="s">
        <v>216</v>
      </c>
      <c r="C121" s="1">
        <v>45439</v>
      </c>
      <c r="D121" s="1">
        <v>45444</v>
      </c>
      <c r="E121" t="s">
        <v>22</v>
      </c>
      <c r="F121" t="s">
        <v>36</v>
      </c>
      <c r="G121" t="s">
        <v>37</v>
      </c>
      <c r="H121" t="s">
        <v>38</v>
      </c>
      <c r="I121" t="s">
        <v>26</v>
      </c>
      <c r="J121" t="s">
        <v>39</v>
      </c>
      <c r="K121" t="s">
        <v>40</v>
      </c>
      <c r="L121">
        <v>53711</v>
      </c>
      <c r="M121" t="s">
        <v>41</v>
      </c>
      <c r="N121" t="s">
        <v>109</v>
      </c>
      <c r="O121" t="s">
        <v>31</v>
      </c>
      <c r="P121" t="s">
        <v>110</v>
      </c>
      <c r="Q121" t="s">
        <v>111</v>
      </c>
      <c r="R121">
        <v>140</v>
      </c>
      <c r="S121">
        <v>7</v>
      </c>
      <c r="T121">
        <v>0.2</v>
      </c>
      <c r="U121">
        <v>23.18</v>
      </c>
    </row>
    <row r="122" spans="1:21" x14ac:dyDescent="0.35">
      <c r="A122">
        <v>121</v>
      </c>
      <c r="B122" t="s">
        <v>216</v>
      </c>
      <c r="C122" s="1">
        <v>45439</v>
      </c>
      <c r="D122" s="1">
        <v>45444</v>
      </c>
      <c r="E122" t="s">
        <v>50</v>
      </c>
      <c r="F122" t="s">
        <v>36</v>
      </c>
      <c r="G122" t="s">
        <v>37</v>
      </c>
      <c r="H122" t="s">
        <v>38</v>
      </c>
      <c r="I122" t="s">
        <v>26</v>
      </c>
      <c r="J122" t="s">
        <v>39</v>
      </c>
      <c r="K122" t="s">
        <v>40</v>
      </c>
      <c r="L122">
        <v>53711</v>
      </c>
      <c r="M122" t="s">
        <v>41</v>
      </c>
      <c r="N122" t="s">
        <v>30</v>
      </c>
      <c r="O122" t="s">
        <v>31</v>
      </c>
      <c r="P122" t="s">
        <v>32</v>
      </c>
      <c r="Q122" t="s">
        <v>33</v>
      </c>
      <c r="R122">
        <v>1242</v>
      </c>
      <c r="S122">
        <v>6</v>
      </c>
      <c r="T122">
        <v>0.1</v>
      </c>
      <c r="U122">
        <v>72.650000000000006</v>
      </c>
    </row>
    <row r="123" spans="1:21" x14ac:dyDescent="0.35">
      <c r="A123">
        <v>122</v>
      </c>
      <c r="B123" t="s">
        <v>216</v>
      </c>
      <c r="C123" s="1">
        <v>45439</v>
      </c>
      <c r="D123" s="1">
        <v>45444</v>
      </c>
      <c r="E123" t="s">
        <v>94</v>
      </c>
      <c r="F123" t="s">
        <v>36</v>
      </c>
      <c r="G123" t="s">
        <v>37</v>
      </c>
      <c r="H123" t="s">
        <v>38</v>
      </c>
      <c r="I123" t="s">
        <v>26</v>
      </c>
      <c r="J123" t="s">
        <v>39</v>
      </c>
      <c r="K123" t="s">
        <v>40</v>
      </c>
      <c r="L123">
        <v>53711</v>
      </c>
      <c r="M123" t="s">
        <v>41</v>
      </c>
      <c r="N123" t="s">
        <v>97</v>
      </c>
      <c r="O123" t="s">
        <v>31</v>
      </c>
      <c r="P123" t="s">
        <v>98</v>
      </c>
      <c r="Q123" t="s">
        <v>99</v>
      </c>
      <c r="R123">
        <v>520</v>
      </c>
      <c r="S123">
        <v>2</v>
      </c>
      <c r="T123">
        <v>0</v>
      </c>
      <c r="U123">
        <v>50.2</v>
      </c>
    </row>
    <row r="124" spans="1:21" x14ac:dyDescent="0.35">
      <c r="A124">
        <v>123</v>
      </c>
      <c r="B124" t="s">
        <v>217</v>
      </c>
      <c r="C124" s="1">
        <v>46208</v>
      </c>
      <c r="D124" s="1">
        <v>46212</v>
      </c>
      <c r="E124" t="s">
        <v>94</v>
      </c>
      <c r="F124" t="s">
        <v>218</v>
      </c>
      <c r="G124" t="s">
        <v>219</v>
      </c>
      <c r="H124" t="s">
        <v>38</v>
      </c>
      <c r="I124" t="s">
        <v>26</v>
      </c>
      <c r="J124" t="s">
        <v>57</v>
      </c>
      <c r="K124" t="s">
        <v>58</v>
      </c>
      <c r="L124">
        <v>10009</v>
      </c>
      <c r="M124" t="s">
        <v>29</v>
      </c>
      <c r="N124" t="s">
        <v>66</v>
      </c>
      <c r="O124" t="s">
        <v>47</v>
      </c>
      <c r="P124" t="s">
        <v>67</v>
      </c>
      <c r="Q124" t="s">
        <v>68</v>
      </c>
      <c r="R124">
        <v>1650</v>
      </c>
      <c r="S124">
        <v>5</v>
      </c>
      <c r="T124">
        <v>0</v>
      </c>
      <c r="U124">
        <v>279.14999999999998</v>
      </c>
    </row>
    <row r="125" spans="1:21" x14ac:dyDescent="0.35">
      <c r="A125">
        <v>124</v>
      </c>
      <c r="B125" t="s">
        <v>217</v>
      </c>
      <c r="C125" s="1">
        <v>46208</v>
      </c>
      <c r="D125" s="1">
        <v>46212</v>
      </c>
      <c r="E125" t="s">
        <v>35</v>
      </c>
      <c r="F125" t="s">
        <v>218</v>
      </c>
      <c r="G125" t="s">
        <v>219</v>
      </c>
      <c r="H125" t="s">
        <v>38</v>
      </c>
      <c r="I125" t="s">
        <v>26</v>
      </c>
      <c r="J125" t="s">
        <v>57</v>
      </c>
      <c r="K125" t="s">
        <v>58</v>
      </c>
      <c r="L125">
        <v>10009</v>
      </c>
      <c r="M125" t="s">
        <v>29</v>
      </c>
      <c r="N125" t="s">
        <v>125</v>
      </c>
      <c r="O125" t="s">
        <v>43</v>
      </c>
      <c r="P125" t="s">
        <v>126</v>
      </c>
      <c r="Q125" t="s">
        <v>127</v>
      </c>
      <c r="R125">
        <v>120</v>
      </c>
      <c r="S125">
        <v>1</v>
      </c>
      <c r="T125">
        <v>0</v>
      </c>
      <c r="U125">
        <v>20.18</v>
      </c>
    </row>
    <row r="126" spans="1:21" x14ac:dyDescent="0.35">
      <c r="A126">
        <v>125</v>
      </c>
      <c r="B126" t="s">
        <v>217</v>
      </c>
      <c r="C126" s="1">
        <v>46208</v>
      </c>
      <c r="D126" s="1">
        <v>46212</v>
      </c>
      <c r="E126" t="s">
        <v>35</v>
      </c>
      <c r="F126" t="s">
        <v>218</v>
      </c>
      <c r="G126" t="s">
        <v>219</v>
      </c>
      <c r="H126" t="s">
        <v>38</v>
      </c>
      <c r="I126" t="s">
        <v>26</v>
      </c>
      <c r="J126" t="s">
        <v>57</v>
      </c>
      <c r="K126" t="s">
        <v>58</v>
      </c>
      <c r="L126">
        <v>10009</v>
      </c>
      <c r="M126" t="s">
        <v>29</v>
      </c>
      <c r="N126" t="s">
        <v>69</v>
      </c>
      <c r="O126" t="s">
        <v>43</v>
      </c>
      <c r="P126" t="s">
        <v>70</v>
      </c>
      <c r="Q126" t="s">
        <v>71</v>
      </c>
      <c r="R126">
        <v>315</v>
      </c>
      <c r="S126">
        <v>7</v>
      </c>
      <c r="T126">
        <v>0</v>
      </c>
      <c r="U126">
        <v>46.25</v>
      </c>
    </row>
    <row r="127" spans="1:21" x14ac:dyDescent="0.35">
      <c r="A127">
        <v>126</v>
      </c>
      <c r="B127" t="s">
        <v>217</v>
      </c>
      <c r="C127" s="1">
        <v>46208</v>
      </c>
      <c r="D127" s="1">
        <v>46212</v>
      </c>
      <c r="E127" t="s">
        <v>94</v>
      </c>
      <c r="F127" t="s">
        <v>218</v>
      </c>
      <c r="G127" t="s">
        <v>219</v>
      </c>
      <c r="H127" t="s">
        <v>38</v>
      </c>
      <c r="I127" t="s">
        <v>26</v>
      </c>
      <c r="J127" t="s">
        <v>57</v>
      </c>
      <c r="K127" t="s">
        <v>58</v>
      </c>
      <c r="L127">
        <v>10009</v>
      </c>
      <c r="M127" t="s">
        <v>29</v>
      </c>
      <c r="N127" t="s">
        <v>97</v>
      </c>
      <c r="O127" t="s">
        <v>31</v>
      </c>
      <c r="P127" t="s">
        <v>98</v>
      </c>
      <c r="Q127" t="s">
        <v>99</v>
      </c>
      <c r="R127">
        <v>1092</v>
      </c>
      <c r="S127">
        <v>6</v>
      </c>
      <c r="T127">
        <v>0.3</v>
      </c>
      <c r="U127">
        <v>-86.65</v>
      </c>
    </row>
    <row r="128" spans="1:21" x14ac:dyDescent="0.35">
      <c r="A128">
        <v>127</v>
      </c>
      <c r="B128" t="s">
        <v>220</v>
      </c>
      <c r="C128" s="1">
        <v>46071</v>
      </c>
      <c r="D128" s="1">
        <v>46076</v>
      </c>
      <c r="E128" t="s">
        <v>22</v>
      </c>
      <c r="F128" t="s">
        <v>221</v>
      </c>
      <c r="G128" t="s">
        <v>222</v>
      </c>
      <c r="H128" t="s">
        <v>25</v>
      </c>
      <c r="I128" t="s">
        <v>26</v>
      </c>
      <c r="J128" t="s">
        <v>135</v>
      </c>
      <c r="K128" t="s">
        <v>136</v>
      </c>
      <c r="L128">
        <v>19140</v>
      </c>
      <c r="M128" t="s">
        <v>29</v>
      </c>
      <c r="N128" t="s">
        <v>51</v>
      </c>
      <c r="O128" t="s">
        <v>43</v>
      </c>
      <c r="P128" t="s">
        <v>52</v>
      </c>
      <c r="Q128" t="s">
        <v>53</v>
      </c>
      <c r="R128">
        <v>25.6</v>
      </c>
      <c r="S128">
        <v>4</v>
      </c>
      <c r="T128">
        <v>0.2</v>
      </c>
      <c r="U128">
        <v>2.76</v>
      </c>
    </row>
    <row r="129" spans="1:21" x14ac:dyDescent="0.35">
      <c r="A129">
        <v>128</v>
      </c>
      <c r="B129" t="s">
        <v>220</v>
      </c>
      <c r="C129" s="1">
        <v>46071</v>
      </c>
      <c r="D129" s="1">
        <v>46076</v>
      </c>
      <c r="E129" t="s">
        <v>94</v>
      </c>
      <c r="F129" t="s">
        <v>221</v>
      </c>
      <c r="G129" t="s">
        <v>222</v>
      </c>
      <c r="H129" t="s">
        <v>25</v>
      </c>
      <c r="I129" t="s">
        <v>26</v>
      </c>
      <c r="J129" t="s">
        <v>135</v>
      </c>
      <c r="K129" t="s">
        <v>136</v>
      </c>
      <c r="L129">
        <v>19140</v>
      </c>
      <c r="M129" t="s">
        <v>29</v>
      </c>
      <c r="N129" t="s">
        <v>69</v>
      </c>
      <c r="O129" t="s">
        <v>43</v>
      </c>
      <c r="P129" t="s">
        <v>70</v>
      </c>
      <c r="Q129" t="s">
        <v>71</v>
      </c>
      <c r="R129">
        <v>67.5</v>
      </c>
      <c r="S129">
        <v>3</v>
      </c>
      <c r="T129">
        <v>0.5</v>
      </c>
      <c r="U129">
        <v>-9.8800000000000008</v>
      </c>
    </row>
    <row r="130" spans="1:21" x14ac:dyDescent="0.35">
      <c r="A130">
        <v>129</v>
      </c>
      <c r="B130" t="s">
        <v>220</v>
      </c>
      <c r="C130" s="1">
        <v>46071</v>
      </c>
      <c r="D130" s="1">
        <v>46076</v>
      </c>
      <c r="E130" t="s">
        <v>22</v>
      </c>
      <c r="F130" t="s">
        <v>221</v>
      </c>
      <c r="G130" t="s">
        <v>222</v>
      </c>
      <c r="H130" t="s">
        <v>25</v>
      </c>
      <c r="I130" t="s">
        <v>26</v>
      </c>
      <c r="J130" t="s">
        <v>135</v>
      </c>
      <c r="K130" t="s">
        <v>136</v>
      </c>
      <c r="L130">
        <v>19140</v>
      </c>
      <c r="M130" t="s">
        <v>29</v>
      </c>
      <c r="N130" t="s">
        <v>66</v>
      </c>
      <c r="O130" t="s">
        <v>47</v>
      </c>
      <c r="P130" t="s">
        <v>67</v>
      </c>
      <c r="Q130" t="s">
        <v>68</v>
      </c>
      <c r="R130">
        <v>891</v>
      </c>
      <c r="S130">
        <v>3</v>
      </c>
      <c r="T130">
        <v>0.1</v>
      </c>
      <c r="U130">
        <v>96.17</v>
      </c>
    </row>
    <row r="131" spans="1:21" x14ac:dyDescent="0.35">
      <c r="A131">
        <v>130</v>
      </c>
      <c r="B131" t="s">
        <v>223</v>
      </c>
      <c r="C131" s="1">
        <v>45767</v>
      </c>
      <c r="D131" s="1">
        <v>45769</v>
      </c>
      <c r="E131" t="s">
        <v>50</v>
      </c>
      <c r="F131" t="s">
        <v>224</v>
      </c>
      <c r="G131" t="s">
        <v>143</v>
      </c>
      <c r="H131" t="s">
        <v>62</v>
      </c>
      <c r="I131" t="s">
        <v>26</v>
      </c>
      <c r="J131" t="s">
        <v>131</v>
      </c>
      <c r="K131" t="s">
        <v>90</v>
      </c>
      <c r="L131">
        <v>94122</v>
      </c>
      <c r="M131" t="s">
        <v>85</v>
      </c>
      <c r="N131" t="s">
        <v>121</v>
      </c>
      <c r="O131" t="s">
        <v>47</v>
      </c>
      <c r="P131" t="s">
        <v>122</v>
      </c>
      <c r="Q131" t="s">
        <v>123</v>
      </c>
      <c r="R131">
        <v>2700</v>
      </c>
      <c r="S131">
        <v>5</v>
      </c>
      <c r="T131">
        <v>0</v>
      </c>
      <c r="U131">
        <v>511.96</v>
      </c>
    </row>
    <row r="132" spans="1:21" x14ac:dyDescent="0.35">
      <c r="A132">
        <v>131</v>
      </c>
      <c r="B132" t="s">
        <v>223</v>
      </c>
      <c r="C132" s="1">
        <v>45767</v>
      </c>
      <c r="D132" s="1">
        <v>45769</v>
      </c>
      <c r="E132" t="s">
        <v>94</v>
      </c>
      <c r="F132" t="s">
        <v>224</v>
      </c>
      <c r="G132" t="s">
        <v>143</v>
      </c>
      <c r="H132" t="s">
        <v>62</v>
      </c>
      <c r="I132" t="s">
        <v>26</v>
      </c>
      <c r="J132" t="s">
        <v>131</v>
      </c>
      <c r="K132" t="s">
        <v>90</v>
      </c>
      <c r="L132">
        <v>94122</v>
      </c>
      <c r="M132" t="s">
        <v>85</v>
      </c>
      <c r="N132" t="s">
        <v>109</v>
      </c>
      <c r="O132" t="s">
        <v>31</v>
      </c>
      <c r="P132" t="s">
        <v>110</v>
      </c>
      <c r="Q132" t="s">
        <v>111</v>
      </c>
      <c r="R132">
        <v>100</v>
      </c>
      <c r="S132">
        <v>5</v>
      </c>
      <c r="T132">
        <v>0.2</v>
      </c>
      <c r="U132">
        <v>17.09</v>
      </c>
    </row>
    <row r="133" spans="1:21" x14ac:dyDescent="0.35">
      <c r="A133">
        <v>132</v>
      </c>
      <c r="B133" t="s">
        <v>223</v>
      </c>
      <c r="C133" s="1">
        <v>45767</v>
      </c>
      <c r="D133" s="1">
        <v>45769</v>
      </c>
      <c r="E133" t="s">
        <v>94</v>
      </c>
      <c r="F133" t="s">
        <v>224</v>
      </c>
      <c r="G133" t="s">
        <v>143</v>
      </c>
      <c r="H133" t="s">
        <v>62</v>
      </c>
      <c r="I133" t="s">
        <v>26</v>
      </c>
      <c r="J133" t="s">
        <v>131</v>
      </c>
      <c r="K133" t="s">
        <v>90</v>
      </c>
      <c r="L133">
        <v>94122</v>
      </c>
      <c r="M133" t="s">
        <v>85</v>
      </c>
      <c r="N133" t="s">
        <v>97</v>
      </c>
      <c r="O133" t="s">
        <v>31</v>
      </c>
      <c r="P133" t="s">
        <v>98</v>
      </c>
      <c r="Q133" t="s">
        <v>99</v>
      </c>
      <c r="R133">
        <v>1300</v>
      </c>
      <c r="S133">
        <v>5</v>
      </c>
      <c r="T133">
        <v>0</v>
      </c>
      <c r="U133">
        <v>131.29</v>
      </c>
    </row>
    <row r="134" spans="1:21" x14ac:dyDescent="0.35">
      <c r="A134">
        <v>133</v>
      </c>
      <c r="B134" t="s">
        <v>223</v>
      </c>
      <c r="C134" s="1">
        <v>45767</v>
      </c>
      <c r="D134" s="1">
        <v>45769</v>
      </c>
      <c r="E134" t="s">
        <v>22</v>
      </c>
      <c r="F134" t="s">
        <v>224</v>
      </c>
      <c r="G134" t="s">
        <v>143</v>
      </c>
      <c r="H134" t="s">
        <v>62</v>
      </c>
      <c r="I134" t="s">
        <v>26</v>
      </c>
      <c r="J134" t="s">
        <v>131</v>
      </c>
      <c r="K134" t="s">
        <v>90</v>
      </c>
      <c r="L134">
        <v>94122</v>
      </c>
      <c r="M134" t="s">
        <v>85</v>
      </c>
      <c r="N134" t="s">
        <v>51</v>
      </c>
      <c r="O134" t="s">
        <v>43</v>
      </c>
      <c r="P134" t="s">
        <v>52</v>
      </c>
      <c r="Q134" t="s">
        <v>53</v>
      </c>
      <c r="R134">
        <v>24</v>
      </c>
      <c r="S134">
        <v>6</v>
      </c>
      <c r="T134">
        <v>0.5</v>
      </c>
      <c r="U134">
        <v>-3.01</v>
      </c>
    </row>
    <row r="135" spans="1:21" x14ac:dyDescent="0.35">
      <c r="A135">
        <v>134</v>
      </c>
      <c r="B135" t="s">
        <v>225</v>
      </c>
      <c r="C135" s="1">
        <v>45539</v>
      </c>
      <c r="D135" s="1">
        <v>45541</v>
      </c>
      <c r="E135" t="s">
        <v>94</v>
      </c>
      <c r="F135" t="s">
        <v>203</v>
      </c>
      <c r="G135" t="s">
        <v>204</v>
      </c>
      <c r="H135" t="s">
        <v>38</v>
      </c>
      <c r="I135" t="s">
        <v>26</v>
      </c>
      <c r="J135" t="s">
        <v>75</v>
      </c>
      <c r="K135" t="s">
        <v>76</v>
      </c>
      <c r="L135">
        <v>2110</v>
      </c>
      <c r="M135" t="s">
        <v>29</v>
      </c>
      <c r="N135" t="s">
        <v>46</v>
      </c>
      <c r="O135" t="s">
        <v>47</v>
      </c>
      <c r="P135" t="s">
        <v>48</v>
      </c>
      <c r="Q135" t="s">
        <v>49</v>
      </c>
      <c r="R135">
        <v>64</v>
      </c>
      <c r="S135">
        <v>2</v>
      </c>
      <c r="T135">
        <v>0</v>
      </c>
      <c r="U135">
        <v>12.31</v>
      </c>
    </row>
    <row r="136" spans="1:21" x14ac:dyDescent="0.35">
      <c r="A136">
        <v>135</v>
      </c>
      <c r="B136" t="s">
        <v>225</v>
      </c>
      <c r="C136" s="1">
        <v>45539</v>
      </c>
      <c r="D136" s="1">
        <v>45541</v>
      </c>
      <c r="E136" t="s">
        <v>50</v>
      </c>
      <c r="F136" t="s">
        <v>203</v>
      </c>
      <c r="G136" t="s">
        <v>204</v>
      </c>
      <c r="H136" t="s">
        <v>38</v>
      </c>
      <c r="I136" t="s">
        <v>26</v>
      </c>
      <c r="J136" t="s">
        <v>75</v>
      </c>
      <c r="K136" t="s">
        <v>76</v>
      </c>
      <c r="L136">
        <v>2110</v>
      </c>
      <c r="M136" t="s">
        <v>29</v>
      </c>
      <c r="N136" t="s">
        <v>30</v>
      </c>
      <c r="O136" t="s">
        <v>31</v>
      </c>
      <c r="P136" t="s">
        <v>32</v>
      </c>
      <c r="Q136" t="s">
        <v>33</v>
      </c>
      <c r="R136">
        <v>414</v>
      </c>
      <c r="S136">
        <v>2</v>
      </c>
      <c r="T136">
        <v>0.1</v>
      </c>
      <c r="U136">
        <v>23.15</v>
      </c>
    </row>
    <row r="137" spans="1:21" x14ac:dyDescent="0.35">
      <c r="A137">
        <v>136</v>
      </c>
      <c r="B137" t="s">
        <v>225</v>
      </c>
      <c r="C137" s="1">
        <v>45539</v>
      </c>
      <c r="D137" s="1">
        <v>45541</v>
      </c>
      <c r="E137" t="s">
        <v>50</v>
      </c>
      <c r="F137" t="s">
        <v>203</v>
      </c>
      <c r="G137" t="s">
        <v>204</v>
      </c>
      <c r="H137" t="s">
        <v>38</v>
      </c>
      <c r="I137" t="s">
        <v>26</v>
      </c>
      <c r="J137" t="s">
        <v>75</v>
      </c>
      <c r="K137" t="s">
        <v>76</v>
      </c>
      <c r="L137">
        <v>2110</v>
      </c>
      <c r="M137" t="s">
        <v>29</v>
      </c>
      <c r="N137" t="s">
        <v>121</v>
      </c>
      <c r="O137" t="s">
        <v>47</v>
      </c>
      <c r="P137" t="s">
        <v>122</v>
      </c>
      <c r="Q137" t="s">
        <v>123</v>
      </c>
      <c r="R137">
        <v>432</v>
      </c>
      <c r="S137">
        <v>1</v>
      </c>
      <c r="T137">
        <v>0.2</v>
      </c>
      <c r="U137">
        <v>28.62</v>
      </c>
    </row>
    <row r="138" spans="1:21" x14ac:dyDescent="0.35">
      <c r="A138">
        <v>137</v>
      </c>
      <c r="B138" t="s">
        <v>225</v>
      </c>
      <c r="C138" s="1">
        <v>45539</v>
      </c>
      <c r="D138" s="1">
        <v>45541</v>
      </c>
      <c r="E138" t="s">
        <v>94</v>
      </c>
      <c r="F138" t="s">
        <v>203</v>
      </c>
      <c r="G138" t="s">
        <v>204</v>
      </c>
      <c r="H138" t="s">
        <v>38</v>
      </c>
      <c r="I138" t="s">
        <v>26</v>
      </c>
      <c r="J138" t="s">
        <v>75</v>
      </c>
      <c r="K138" t="s">
        <v>76</v>
      </c>
      <c r="L138">
        <v>2110</v>
      </c>
      <c r="M138" t="s">
        <v>29</v>
      </c>
      <c r="N138" t="s">
        <v>113</v>
      </c>
      <c r="O138" t="s">
        <v>43</v>
      </c>
      <c r="P138" t="s">
        <v>114</v>
      </c>
      <c r="Q138" t="s">
        <v>115</v>
      </c>
      <c r="R138">
        <v>11</v>
      </c>
      <c r="S138">
        <v>1</v>
      </c>
      <c r="T138">
        <v>0</v>
      </c>
      <c r="U138">
        <v>3.61</v>
      </c>
    </row>
    <row r="139" spans="1:21" x14ac:dyDescent="0.35">
      <c r="A139">
        <v>138</v>
      </c>
      <c r="B139" t="s">
        <v>226</v>
      </c>
      <c r="C139" s="1">
        <v>46059</v>
      </c>
      <c r="D139" s="1">
        <v>46060</v>
      </c>
      <c r="E139" t="s">
        <v>22</v>
      </c>
      <c r="F139" t="s">
        <v>227</v>
      </c>
      <c r="G139" t="s">
        <v>228</v>
      </c>
      <c r="H139" t="s">
        <v>25</v>
      </c>
      <c r="I139" t="s">
        <v>26</v>
      </c>
      <c r="J139" t="s">
        <v>229</v>
      </c>
      <c r="K139" t="s">
        <v>230</v>
      </c>
      <c r="L139">
        <v>30318</v>
      </c>
      <c r="M139" t="s">
        <v>65</v>
      </c>
      <c r="N139" t="s">
        <v>77</v>
      </c>
      <c r="O139" t="s">
        <v>31</v>
      </c>
      <c r="P139" t="s">
        <v>78</v>
      </c>
      <c r="Q139" t="s">
        <v>79</v>
      </c>
      <c r="R139">
        <v>1260</v>
      </c>
      <c r="S139">
        <v>3</v>
      </c>
      <c r="T139">
        <v>0</v>
      </c>
      <c r="U139">
        <v>-62.84</v>
      </c>
    </row>
    <row r="140" spans="1:21" x14ac:dyDescent="0.35">
      <c r="A140">
        <v>139</v>
      </c>
      <c r="B140" t="s">
        <v>226</v>
      </c>
      <c r="C140" s="1">
        <v>46059</v>
      </c>
      <c r="D140" s="1">
        <v>46060</v>
      </c>
      <c r="E140" t="s">
        <v>35</v>
      </c>
      <c r="F140" t="s">
        <v>227</v>
      </c>
      <c r="G140" t="s">
        <v>228</v>
      </c>
      <c r="H140" t="s">
        <v>25</v>
      </c>
      <c r="I140" t="s">
        <v>26</v>
      </c>
      <c r="J140" t="s">
        <v>229</v>
      </c>
      <c r="K140" t="s">
        <v>230</v>
      </c>
      <c r="L140">
        <v>30318</v>
      </c>
      <c r="M140" t="s">
        <v>65</v>
      </c>
      <c r="N140" t="s">
        <v>125</v>
      </c>
      <c r="O140" t="s">
        <v>43</v>
      </c>
      <c r="P140" t="s">
        <v>126</v>
      </c>
      <c r="Q140" t="s">
        <v>127</v>
      </c>
      <c r="R140">
        <v>216</v>
      </c>
      <c r="S140">
        <v>2</v>
      </c>
      <c r="T140">
        <v>0.1</v>
      </c>
      <c r="U140">
        <v>27.2</v>
      </c>
    </row>
    <row r="141" spans="1:21" x14ac:dyDescent="0.35">
      <c r="A141">
        <v>140</v>
      </c>
      <c r="B141" t="s">
        <v>226</v>
      </c>
      <c r="C141" s="1">
        <v>46059</v>
      </c>
      <c r="D141" s="1">
        <v>46060</v>
      </c>
      <c r="E141" t="s">
        <v>50</v>
      </c>
      <c r="F141" t="s">
        <v>227</v>
      </c>
      <c r="G141" t="s">
        <v>228</v>
      </c>
      <c r="H141" t="s">
        <v>25</v>
      </c>
      <c r="I141" t="s">
        <v>26</v>
      </c>
      <c r="J141" t="s">
        <v>229</v>
      </c>
      <c r="K141" t="s">
        <v>230</v>
      </c>
      <c r="L141">
        <v>30318</v>
      </c>
      <c r="M141" t="s">
        <v>65</v>
      </c>
      <c r="N141" t="s">
        <v>106</v>
      </c>
      <c r="O141" t="s">
        <v>43</v>
      </c>
      <c r="P141" t="s">
        <v>107</v>
      </c>
      <c r="Q141" t="s">
        <v>108</v>
      </c>
      <c r="R141">
        <v>54</v>
      </c>
      <c r="S141">
        <v>6</v>
      </c>
      <c r="T141">
        <v>0</v>
      </c>
      <c r="U141">
        <v>14.2</v>
      </c>
    </row>
    <row r="142" spans="1:21" x14ac:dyDescent="0.35">
      <c r="A142">
        <v>141</v>
      </c>
      <c r="B142" t="s">
        <v>231</v>
      </c>
      <c r="C142" s="1">
        <v>45559</v>
      </c>
      <c r="D142" s="1">
        <v>45564</v>
      </c>
      <c r="E142" t="s">
        <v>94</v>
      </c>
      <c r="F142" t="s">
        <v>232</v>
      </c>
      <c r="G142" t="s">
        <v>56</v>
      </c>
      <c r="H142" t="s">
        <v>62</v>
      </c>
      <c r="I142" t="s">
        <v>26</v>
      </c>
      <c r="J142" t="s">
        <v>119</v>
      </c>
      <c r="K142" t="s">
        <v>120</v>
      </c>
      <c r="L142">
        <v>97206</v>
      </c>
      <c r="M142" t="s">
        <v>85</v>
      </c>
      <c r="N142" t="s">
        <v>69</v>
      </c>
      <c r="O142" t="s">
        <v>43</v>
      </c>
      <c r="P142" t="s">
        <v>70</v>
      </c>
      <c r="Q142" t="s">
        <v>71</v>
      </c>
      <c r="R142">
        <v>135</v>
      </c>
      <c r="S142">
        <v>3</v>
      </c>
      <c r="T142">
        <v>0</v>
      </c>
      <c r="U142">
        <v>21.34</v>
      </c>
    </row>
    <row r="143" spans="1:21" x14ac:dyDescent="0.35">
      <c r="A143">
        <v>142</v>
      </c>
      <c r="B143" t="s">
        <v>231</v>
      </c>
      <c r="C143" s="1">
        <v>45559</v>
      </c>
      <c r="D143" s="1">
        <v>45564</v>
      </c>
      <c r="E143" t="s">
        <v>35</v>
      </c>
      <c r="F143" t="s">
        <v>232</v>
      </c>
      <c r="G143" t="s">
        <v>56</v>
      </c>
      <c r="H143" t="s">
        <v>62</v>
      </c>
      <c r="I143" t="s">
        <v>26</v>
      </c>
      <c r="J143" t="s">
        <v>119</v>
      </c>
      <c r="K143" t="s">
        <v>120</v>
      </c>
      <c r="L143">
        <v>97206</v>
      </c>
      <c r="M143" t="s">
        <v>85</v>
      </c>
      <c r="N143" t="s">
        <v>106</v>
      </c>
      <c r="O143" t="s">
        <v>43</v>
      </c>
      <c r="P143" t="s">
        <v>107</v>
      </c>
      <c r="Q143" t="s">
        <v>108</v>
      </c>
      <c r="R143">
        <v>63</v>
      </c>
      <c r="S143">
        <v>7</v>
      </c>
      <c r="T143">
        <v>0</v>
      </c>
      <c r="U143">
        <v>18.399999999999999</v>
      </c>
    </row>
    <row r="144" spans="1:21" x14ac:dyDescent="0.35">
      <c r="A144">
        <v>143</v>
      </c>
      <c r="B144" t="s">
        <v>231</v>
      </c>
      <c r="C144" s="1">
        <v>45559</v>
      </c>
      <c r="D144" s="1">
        <v>45564</v>
      </c>
      <c r="E144" t="s">
        <v>35</v>
      </c>
      <c r="F144" t="s">
        <v>232</v>
      </c>
      <c r="G144" t="s">
        <v>56</v>
      </c>
      <c r="H144" t="s">
        <v>62</v>
      </c>
      <c r="I144" t="s">
        <v>26</v>
      </c>
      <c r="J144" t="s">
        <v>119</v>
      </c>
      <c r="K144" t="s">
        <v>120</v>
      </c>
      <c r="L144">
        <v>97206</v>
      </c>
      <c r="M144" t="s">
        <v>85</v>
      </c>
      <c r="N144" t="s">
        <v>113</v>
      </c>
      <c r="O144" t="s">
        <v>43</v>
      </c>
      <c r="P144" t="s">
        <v>114</v>
      </c>
      <c r="Q144" t="s">
        <v>115</v>
      </c>
      <c r="R144">
        <v>22</v>
      </c>
      <c r="S144">
        <v>2</v>
      </c>
      <c r="T144">
        <v>0</v>
      </c>
      <c r="U144">
        <v>9.2200000000000006</v>
      </c>
    </row>
    <row r="145" spans="1:21" x14ac:dyDescent="0.35">
      <c r="A145">
        <v>144</v>
      </c>
      <c r="B145" t="s">
        <v>231</v>
      </c>
      <c r="C145" s="1">
        <v>45559</v>
      </c>
      <c r="D145" s="1">
        <v>45564</v>
      </c>
      <c r="E145" t="s">
        <v>50</v>
      </c>
      <c r="F145" t="s">
        <v>232</v>
      </c>
      <c r="G145" t="s">
        <v>56</v>
      </c>
      <c r="H145" t="s">
        <v>62</v>
      </c>
      <c r="I145" t="s">
        <v>26</v>
      </c>
      <c r="J145" t="s">
        <v>119</v>
      </c>
      <c r="K145" t="s">
        <v>120</v>
      </c>
      <c r="L145">
        <v>97206</v>
      </c>
      <c r="M145" t="s">
        <v>85</v>
      </c>
      <c r="N145" t="s">
        <v>30</v>
      </c>
      <c r="O145" t="s">
        <v>31</v>
      </c>
      <c r="P145" t="s">
        <v>32</v>
      </c>
      <c r="Q145" t="s">
        <v>33</v>
      </c>
      <c r="R145">
        <v>1610</v>
      </c>
      <c r="S145">
        <v>7</v>
      </c>
      <c r="T145">
        <v>0</v>
      </c>
      <c r="U145">
        <v>192.93</v>
      </c>
    </row>
    <row r="146" spans="1:21" x14ac:dyDescent="0.35">
      <c r="A146">
        <v>145</v>
      </c>
      <c r="B146" t="s">
        <v>233</v>
      </c>
      <c r="C146" s="1">
        <v>46036</v>
      </c>
      <c r="D146" s="1">
        <v>46042</v>
      </c>
      <c r="E146" t="s">
        <v>35</v>
      </c>
      <c r="F146" t="s">
        <v>232</v>
      </c>
      <c r="G146" t="s">
        <v>56</v>
      </c>
      <c r="H146" t="s">
        <v>62</v>
      </c>
      <c r="I146" t="s">
        <v>26</v>
      </c>
      <c r="J146" t="s">
        <v>119</v>
      </c>
      <c r="K146" t="s">
        <v>120</v>
      </c>
      <c r="L146">
        <v>97206</v>
      </c>
      <c r="M146" t="s">
        <v>85</v>
      </c>
      <c r="N146" t="s">
        <v>95</v>
      </c>
      <c r="O146" t="s">
        <v>47</v>
      </c>
      <c r="P146" t="s">
        <v>48</v>
      </c>
      <c r="Q146" t="s">
        <v>96</v>
      </c>
      <c r="R146">
        <v>35.200000000000003</v>
      </c>
      <c r="S146">
        <v>2</v>
      </c>
      <c r="T146">
        <v>0.2</v>
      </c>
      <c r="U146">
        <v>7.95</v>
      </c>
    </row>
    <row r="147" spans="1:21" x14ac:dyDescent="0.35">
      <c r="A147">
        <v>146</v>
      </c>
      <c r="B147" t="s">
        <v>233</v>
      </c>
      <c r="C147" s="1">
        <v>46036</v>
      </c>
      <c r="D147" s="1">
        <v>46042</v>
      </c>
      <c r="E147" t="s">
        <v>50</v>
      </c>
      <c r="F147" t="s">
        <v>232</v>
      </c>
      <c r="G147" t="s">
        <v>56</v>
      </c>
      <c r="H147" t="s">
        <v>62</v>
      </c>
      <c r="I147" t="s">
        <v>26</v>
      </c>
      <c r="J147" t="s">
        <v>119</v>
      </c>
      <c r="K147" t="s">
        <v>120</v>
      </c>
      <c r="L147">
        <v>97206</v>
      </c>
      <c r="M147" t="s">
        <v>85</v>
      </c>
      <c r="N147" t="s">
        <v>103</v>
      </c>
      <c r="O147" t="s">
        <v>47</v>
      </c>
      <c r="P147" t="s">
        <v>104</v>
      </c>
      <c r="Q147" t="s">
        <v>105</v>
      </c>
      <c r="R147">
        <v>6230</v>
      </c>
      <c r="S147">
        <v>7</v>
      </c>
      <c r="T147">
        <v>0</v>
      </c>
      <c r="U147">
        <v>1245.21</v>
      </c>
    </row>
    <row r="148" spans="1:21" x14ac:dyDescent="0.35">
      <c r="A148">
        <v>147</v>
      </c>
      <c r="B148" t="s">
        <v>233</v>
      </c>
      <c r="C148" s="1">
        <v>46036</v>
      </c>
      <c r="D148" s="1">
        <v>46042</v>
      </c>
      <c r="E148" t="s">
        <v>50</v>
      </c>
      <c r="F148" t="s">
        <v>232</v>
      </c>
      <c r="G148" t="s">
        <v>56</v>
      </c>
      <c r="H148" t="s">
        <v>62</v>
      </c>
      <c r="I148" t="s">
        <v>26</v>
      </c>
      <c r="J148" t="s">
        <v>119</v>
      </c>
      <c r="K148" t="s">
        <v>120</v>
      </c>
      <c r="L148">
        <v>97206</v>
      </c>
      <c r="M148" t="s">
        <v>85</v>
      </c>
      <c r="N148" t="s">
        <v>69</v>
      </c>
      <c r="O148" t="s">
        <v>43</v>
      </c>
      <c r="P148" t="s">
        <v>70</v>
      </c>
      <c r="Q148" t="s">
        <v>71</v>
      </c>
      <c r="R148">
        <v>63</v>
      </c>
      <c r="S148">
        <v>2</v>
      </c>
      <c r="T148">
        <v>0.3</v>
      </c>
      <c r="U148">
        <v>-3.19</v>
      </c>
    </row>
    <row r="149" spans="1:21" x14ac:dyDescent="0.35">
      <c r="A149">
        <v>148</v>
      </c>
      <c r="B149" t="s">
        <v>234</v>
      </c>
      <c r="C149" s="1">
        <v>45415</v>
      </c>
      <c r="D149" s="1">
        <v>45418</v>
      </c>
      <c r="E149" t="s">
        <v>50</v>
      </c>
      <c r="F149" t="s">
        <v>232</v>
      </c>
      <c r="G149" t="s">
        <v>56</v>
      </c>
      <c r="H149" t="s">
        <v>62</v>
      </c>
      <c r="I149" t="s">
        <v>26</v>
      </c>
      <c r="J149" t="s">
        <v>119</v>
      </c>
      <c r="K149" t="s">
        <v>120</v>
      </c>
      <c r="L149">
        <v>97206</v>
      </c>
      <c r="M149" t="s">
        <v>85</v>
      </c>
      <c r="N149" t="s">
        <v>113</v>
      </c>
      <c r="O149" t="s">
        <v>43</v>
      </c>
      <c r="P149" t="s">
        <v>114</v>
      </c>
      <c r="Q149" t="s">
        <v>115</v>
      </c>
      <c r="R149">
        <v>16.5</v>
      </c>
      <c r="S149">
        <v>3</v>
      </c>
      <c r="T149">
        <v>0.5</v>
      </c>
      <c r="U149">
        <v>2.0699999999999998</v>
      </c>
    </row>
    <row r="150" spans="1:21" x14ac:dyDescent="0.35">
      <c r="A150">
        <v>149</v>
      </c>
      <c r="B150" t="s">
        <v>235</v>
      </c>
      <c r="C150" s="1">
        <v>45891</v>
      </c>
      <c r="D150" s="1">
        <v>45897</v>
      </c>
      <c r="E150" t="s">
        <v>50</v>
      </c>
      <c r="F150" t="s">
        <v>160</v>
      </c>
      <c r="G150" t="s">
        <v>161</v>
      </c>
      <c r="H150" t="s">
        <v>25</v>
      </c>
      <c r="I150" t="s">
        <v>26</v>
      </c>
      <c r="J150" t="s">
        <v>162</v>
      </c>
      <c r="K150" t="s">
        <v>163</v>
      </c>
      <c r="L150">
        <v>28205</v>
      </c>
      <c r="M150" t="s">
        <v>65</v>
      </c>
      <c r="N150" t="s">
        <v>46</v>
      </c>
      <c r="O150" t="s">
        <v>47</v>
      </c>
      <c r="P150" t="s">
        <v>48</v>
      </c>
      <c r="Q150" t="s">
        <v>49</v>
      </c>
      <c r="R150">
        <v>128</v>
      </c>
      <c r="S150">
        <v>4</v>
      </c>
      <c r="T150">
        <v>0</v>
      </c>
      <c r="U150">
        <v>29.21</v>
      </c>
    </row>
    <row r="151" spans="1:21" x14ac:dyDescent="0.35">
      <c r="A151">
        <v>150</v>
      </c>
      <c r="B151" t="s">
        <v>235</v>
      </c>
      <c r="C151" s="1">
        <v>45891</v>
      </c>
      <c r="D151" s="1">
        <v>45897</v>
      </c>
      <c r="E151" t="s">
        <v>50</v>
      </c>
      <c r="F151" t="s">
        <v>160</v>
      </c>
      <c r="G151" t="s">
        <v>161</v>
      </c>
      <c r="H151" t="s">
        <v>25</v>
      </c>
      <c r="I151" t="s">
        <v>26</v>
      </c>
      <c r="J151" t="s">
        <v>162</v>
      </c>
      <c r="K151" t="s">
        <v>163</v>
      </c>
      <c r="L151">
        <v>28205</v>
      </c>
      <c r="M151" t="s">
        <v>65</v>
      </c>
      <c r="N151" t="s">
        <v>42</v>
      </c>
      <c r="O151" t="s">
        <v>43</v>
      </c>
      <c r="P151" t="s">
        <v>44</v>
      </c>
      <c r="Q151" t="s">
        <v>45</v>
      </c>
      <c r="R151">
        <v>84</v>
      </c>
      <c r="S151">
        <v>6</v>
      </c>
      <c r="T151">
        <v>0</v>
      </c>
      <c r="U151">
        <v>31.61</v>
      </c>
    </row>
    <row r="152" spans="1:21" x14ac:dyDescent="0.35">
      <c r="A152">
        <v>151</v>
      </c>
      <c r="B152" t="s">
        <v>235</v>
      </c>
      <c r="C152" s="1">
        <v>45891</v>
      </c>
      <c r="D152" s="1">
        <v>45897</v>
      </c>
      <c r="E152" t="s">
        <v>22</v>
      </c>
      <c r="F152" t="s">
        <v>160</v>
      </c>
      <c r="G152" t="s">
        <v>161</v>
      </c>
      <c r="H152" t="s">
        <v>25</v>
      </c>
      <c r="I152" t="s">
        <v>26</v>
      </c>
      <c r="J152" t="s">
        <v>162</v>
      </c>
      <c r="K152" t="s">
        <v>163</v>
      </c>
      <c r="L152">
        <v>28205</v>
      </c>
      <c r="M152" t="s">
        <v>65</v>
      </c>
      <c r="N152" t="s">
        <v>30</v>
      </c>
      <c r="O152" t="s">
        <v>31</v>
      </c>
      <c r="P152" t="s">
        <v>32</v>
      </c>
      <c r="Q152" t="s">
        <v>33</v>
      </c>
      <c r="R152">
        <v>828</v>
      </c>
      <c r="S152">
        <v>4</v>
      </c>
      <c r="T152">
        <v>0.1</v>
      </c>
      <c r="U152">
        <v>49.73</v>
      </c>
    </row>
    <row r="153" spans="1:21" x14ac:dyDescent="0.35">
      <c r="A153">
        <v>152</v>
      </c>
      <c r="B153" t="s">
        <v>235</v>
      </c>
      <c r="C153" s="1">
        <v>45891</v>
      </c>
      <c r="D153" s="1">
        <v>45897</v>
      </c>
      <c r="E153" t="s">
        <v>22</v>
      </c>
      <c r="F153" t="s">
        <v>160</v>
      </c>
      <c r="G153" t="s">
        <v>161</v>
      </c>
      <c r="H153" t="s">
        <v>25</v>
      </c>
      <c r="I153" t="s">
        <v>26</v>
      </c>
      <c r="J153" t="s">
        <v>162</v>
      </c>
      <c r="K153" t="s">
        <v>163</v>
      </c>
      <c r="L153">
        <v>28205</v>
      </c>
      <c r="M153" t="s">
        <v>65</v>
      </c>
      <c r="N153" t="s">
        <v>69</v>
      </c>
      <c r="O153" t="s">
        <v>43</v>
      </c>
      <c r="P153" t="s">
        <v>70</v>
      </c>
      <c r="Q153" t="s">
        <v>71</v>
      </c>
      <c r="R153">
        <v>45</v>
      </c>
      <c r="S153">
        <v>1</v>
      </c>
      <c r="T153">
        <v>0</v>
      </c>
      <c r="U153">
        <v>5.38</v>
      </c>
    </row>
    <row r="154" spans="1:21" x14ac:dyDescent="0.35">
      <c r="A154">
        <v>153</v>
      </c>
      <c r="B154" t="s">
        <v>236</v>
      </c>
      <c r="C154" s="1">
        <v>46111</v>
      </c>
      <c r="D154" s="1">
        <v>46112</v>
      </c>
      <c r="E154" t="s">
        <v>94</v>
      </c>
      <c r="F154" t="s">
        <v>232</v>
      </c>
      <c r="G154" t="s">
        <v>56</v>
      </c>
      <c r="H154" t="s">
        <v>62</v>
      </c>
      <c r="I154" t="s">
        <v>26</v>
      </c>
      <c r="J154" t="s">
        <v>119</v>
      </c>
      <c r="K154" t="s">
        <v>120</v>
      </c>
      <c r="L154">
        <v>97206</v>
      </c>
      <c r="M154" t="s">
        <v>85</v>
      </c>
      <c r="N154" t="s">
        <v>103</v>
      </c>
      <c r="O154" t="s">
        <v>47</v>
      </c>
      <c r="P154" t="s">
        <v>104</v>
      </c>
      <c r="Q154" t="s">
        <v>105</v>
      </c>
      <c r="R154">
        <v>5340</v>
      </c>
      <c r="S154">
        <v>6</v>
      </c>
      <c r="T154">
        <v>0</v>
      </c>
      <c r="U154">
        <v>1069.92</v>
      </c>
    </row>
    <row r="155" spans="1:21" x14ac:dyDescent="0.35">
      <c r="A155">
        <v>154</v>
      </c>
      <c r="B155" t="s">
        <v>236</v>
      </c>
      <c r="C155" s="1">
        <v>46111</v>
      </c>
      <c r="D155" s="1">
        <v>46112</v>
      </c>
      <c r="E155" t="s">
        <v>35</v>
      </c>
      <c r="F155" t="s">
        <v>232</v>
      </c>
      <c r="G155" t="s">
        <v>56</v>
      </c>
      <c r="H155" t="s">
        <v>62</v>
      </c>
      <c r="I155" t="s">
        <v>26</v>
      </c>
      <c r="J155" t="s">
        <v>119</v>
      </c>
      <c r="K155" t="s">
        <v>120</v>
      </c>
      <c r="L155">
        <v>97206</v>
      </c>
      <c r="M155" t="s">
        <v>85</v>
      </c>
      <c r="N155" t="s">
        <v>113</v>
      </c>
      <c r="O155" t="s">
        <v>43</v>
      </c>
      <c r="P155" t="s">
        <v>114</v>
      </c>
      <c r="Q155" t="s">
        <v>115</v>
      </c>
      <c r="R155">
        <v>66</v>
      </c>
      <c r="S155">
        <v>6</v>
      </c>
      <c r="T155">
        <v>0</v>
      </c>
      <c r="U155">
        <v>22.81</v>
      </c>
    </row>
    <row r="156" spans="1:21" x14ac:dyDescent="0.35">
      <c r="A156">
        <v>155</v>
      </c>
      <c r="B156" t="s">
        <v>237</v>
      </c>
      <c r="C156" s="1">
        <v>46064</v>
      </c>
      <c r="D156" s="1">
        <v>46066</v>
      </c>
      <c r="E156" t="s">
        <v>50</v>
      </c>
      <c r="F156" t="s">
        <v>101</v>
      </c>
      <c r="G156" t="s">
        <v>102</v>
      </c>
      <c r="H156" t="s">
        <v>62</v>
      </c>
      <c r="I156" t="s">
        <v>26</v>
      </c>
      <c r="J156" t="s">
        <v>63</v>
      </c>
      <c r="K156" t="s">
        <v>64</v>
      </c>
      <c r="L156">
        <v>37211</v>
      </c>
      <c r="M156" t="s">
        <v>65</v>
      </c>
      <c r="N156" t="s">
        <v>30</v>
      </c>
      <c r="O156" t="s">
        <v>31</v>
      </c>
      <c r="P156" t="s">
        <v>32</v>
      </c>
      <c r="Q156" t="s">
        <v>33</v>
      </c>
      <c r="R156">
        <v>690</v>
      </c>
      <c r="S156">
        <v>3</v>
      </c>
      <c r="T156">
        <v>0</v>
      </c>
      <c r="U156">
        <v>81.37</v>
      </c>
    </row>
    <row r="157" spans="1:21" x14ac:dyDescent="0.35">
      <c r="A157">
        <v>156</v>
      </c>
      <c r="B157" t="s">
        <v>237</v>
      </c>
      <c r="C157" s="1">
        <v>46064</v>
      </c>
      <c r="D157" s="1">
        <v>46066</v>
      </c>
      <c r="E157" t="s">
        <v>35</v>
      </c>
      <c r="F157" t="s">
        <v>101</v>
      </c>
      <c r="G157" t="s">
        <v>102</v>
      </c>
      <c r="H157" t="s">
        <v>62</v>
      </c>
      <c r="I157" t="s">
        <v>26</v>
      </c>
      <c r="J157" t="s">
        <v>63</v>
      </c>
      <c r="K157" t="s">
        <v>64</v>
      </c>
      <c r="L157">
        <v>37211</v>
      </c>
      <c r="M157" t="s">
        <v>65</v>
      </c>
      <c r="N157" t="s">
        <v>113</v>
      </c>
      <c r="O157" t="s">
        <v>43</v>
      </c>
      <c r="P157" t="s">
        <v>114</v>
      </c>
      <c r="Q157" t="s">
        <v>115</v>
      </c>
      <c r="R157">
        <v>5.5</v>
      </c>
      <c r="S157">
        <v>1</v>
      </c>
      <c r="T157">
        <v>0.5</v>
      </c>
      <c r="U157">
        <v>1.04</v>
      </c>
    </row>
    <row r="158" spans="1:21" x14ac:dyDescent="0.35">
      <c r="A158">
        <v>157</v>
      </c>
      <c r="B158" t="s">
        <v>237</v>
      </c>
      <c r="C158" s="1">
        <v>46064</v>
      </c>
      <c r="D158" s="1">
        <v>46066</v>
      </c>
      <c r="E158" t="s">
        <v>22</v>
      </c>
      <c r="F158" t="s">
        <v>101</v>
      </c>
      <c r="G158" t="s">
        <v>102</v>
      </c>
      <c r="H158" t="s">
        <v>62</v>
      </c>
      <c r="I158" t="s">
        <v>26</v>
      </c>
      <c r="J158" t="s">
        <v>63</v>
      </c>
      <c r="K158" t="s">
        <v>64</v>
      </c>
      <c r="L158">
        <v>37211</v>
      </c>
      <c r="M158" t="s">
        <v>65</v>
      </c>
      <c r="N158" t="s">
        <v>51</v>
      </c>
      <c r="O158" t="s">
        <v>43</v>
      </c>
      <c r="P158" t="s">
        <v>52</v>
      </c>
      <c r="Q158" t="s">
        <v>53</v>
      </c>
      <c r="R158">
        <v>25.6</v>
      </c>
      <c r="S158">
        <v>4</v>
      </c>
      <c r="T158">
        <v>0.2</v>
      </c>
      <c r="U158">
        <v>1.92</v>
      </c>
    </row>
    <row r="159" spans="1:21" x14ac:dyDescent="0.35">
      <c r="A159">
        <v>158</v>
      </c>
      <c r="B159" t="s">
        <v>237</v>
      </c>
      <c r="C159" s="1">
        <v>46064</v>
      </c>
      <c r="D159" s="1">
        <v>46066</v>
      </c>
      <c r="E159" t="s">
        <v>35</v>
      </c>
      <c r="F159" t="s">
        <v>101</v>
      </c>
      <c r="G159" t="s">
        <v>102</v>
      </c>
      <c r="H159" t="s">
        <v>62</v>
      </c>
      <c r="I159" t="s">
        <v>26</v>
      </c>
      <c r="J159" t="s">
        <v>63</v>
      </c>
      <c r="K159" t="s">
        <v>64</v>
      </c>
      <c r="L159">
        <v>37211</v>
      </c>
      <c r="M159" t="s">
        <v>65</v>
      </c>
      <c r="N159" t="s">
        <v>121</v>
      </c>
      <c r="O159" t="s">
        <v>47</v>
      </c>
      <c r="P159" t="s">
        <v>122</v>
      </c>
      <c r="Q159" t="s">
        <v>123</v>
      </c>
      <c r="R159">
        <v>810</v>
      </c>
      <c r="S159">
        <v>3</v>
      </c>
      <c r="T159">
        <v>0.5</v>
      </c>
      <c r="U159">
        <v>-87.95</v>
      </c>
    </row>
    <row r="160" spans="1:21" x14ac:dyDescent="0.35">
      <c r="A160">
        <v>159</v>
      </c>
      <c r="B160" t="s">
        <v>238</v>
      </c>
      <c r="C160" s="1">
        <v>46130</v>
      </c>
      <c r="D160" s="1">
        <v>46135</v>
      </c>
      <c r="E160" t="s">
        <v>35</v>
      </c>
      <c r="F160" t="s">
        <v>73</v>
      </c>
      <c r="G160" t="s">
        <v>74</v>
      </c>
      <c r="H160" t="s">
        <v>38</v>
      </c>
      <c r="I160" t="s">
        <v>26</v>
      </c>
      <c r="J160" t="s">
        <v>75</v>
      </c>
      <c r="K160" t="s">
        <v>76</v>
      </c>
      <c r="L160">
        <v>2110</v>
      </c>
      <c r="M160" t="s">
        <v>29</v>
      </c>
      <c r="N160" t="s">
        <v>51</v>
      </c>
      <c r="O160" t="s">
        <v>43</v>
      </c>
      <c r="P160" t="s">
        <v>52</v>
      </c>
      <c r="Q160" t="s">
        <v>53</v>
      </c>
      <c r="R160">
        <v>24</v>
      </c>
      <c r="S160">
        <v>3</v>
      </c>
      <c r="T160">
        <v>0</v>
      </c>
      <c r="U160">
        <v>7.28</v>
      </c>
    </row>
    <row r="161" spans="1:21" x14ac:dyDescent="0.35">
      <c r="A161">
        <v>160</v>
      </c>
      <c r="B161" t="s">
        <v>238</v>
      </c>
      <c r="C161" s="1">
        <v>46130</v>
      </c>
      <c r="D161" s="1">
        <v>46135</v>
      </c>
      <c r="E161" t="s">
        <v>94</v>
      </c>
      <c r="F161" t="s">
        <v>73</v>
      </c>
      <c r="G161" t="s">
        <v>74</v>
      </c>
      <c r="H161" t="s">
        <v>38</v>
      </c>
      <c r="I161" t="s">
        <v>26</v>
      </c>
      <c r="J161" t="s">
        <v>75</v>
      </c>
      <c r="K161" t="s">
        <v>76</v>
      </c>
      <c r="L161">
        <v>2110</v>
      </c>
      <c r="M161" t="s">
        <v>29</v>
      </c>
      <c r="N161" t="s">
        <v>97</v>
      </c>
      <c r="O161" t="s">
        <v>31</v>
      </c>
      <c r="P161" t="s">
        <v>98</v>
      </c>
      <c r="Q161" t="s">
        <v>99</v>
      </c>
      <c r="R161">
        <v>468</v>
      </c>
      <c r="S161">
        <v>2</v>
      </c>
      <c r="T161">
        <v>0.1</v>
      </c>
      <c r="U161">
        <v>17.53</v>
      </c>
    </row>
    <row r="162" spans="1:21" x14ac:dyDescent="0.35">
      <c r="A162">
        <v>161</v>
      </c>
      <c r="B162" t="s">
        <v>238</v>
      </c>
      <c r="C162" s="1">
        <v>46130</v>
      </c>
      <c r="D162" s="1">
        <v>46135</v>
      </c>
      <c r="E162" t="s">
        <v>35</v>
      </c>
      <c r="F162" t="s">
        <v>73</v>
      </c>
      <c r="G162" t="s">
        <v>74</v>
      </c>
      <c r="H162" t="s">
        <v>38</v>
      </c>
      <c r="I162" t="s">
        <v>26</v>
      </c>
      <c r="J162" t="s">
        <v>75</v>
      </c>
      <c r="K162" t="s">
        <v>76</v>
      </c>
      <c r="L162">
        <v>2110</v>
      </c>
      <c r="M162" t="s">
        <v>29</v>
      </c>
      <c r="N162" t="s">
        <v>66</v>
      </c>
      <c r="O162" t="s">
        <v>47</v>
      </c>
      <c r="P162" t="s">
        <v>67</v>
      </c>
      <c r="Q162" t="s">
        <v>68</v>
      </c>
      <c r="R162">
        <v>330</v>
      </c>
      <c r="S162">
        <v>1</v>
      </c>
      <c r="T162">
        <v>0</v>
      </c>
      <c r="U162">
        <v>55.98</v>
      </c>
    </row>
    <row r="163" spans="1:21" x14ac:dyDescent="0.35">
      <c r="A163">
        <v>162</v>
      </c>
      <c r="B163" t="s">
        <v>239</v>
      </c>
      <c r="C163" s="1">
        <v>46067</v>
      </c>
      <c r="D163" s="1">
        <v>46071</v>
      </c>
      <c r="E163" t="s">
        <v>35</v>
      </c>
      <c r="F163" t="s">
        <v>153</v>
      </c>
      <c r="G163" t="s">
        <v>154</v>
      </c>
      <c r="H163" t="s">
        <v>25</v>
      </c>
      <c r="I163" t="s">
        <v>26</v>
      </c>
      <c r="J163" t="s">
        <v>89</v>
      </c>
      <c r="K163" t="s">
        <v>90</v>
      </c>
      <c r="L163">
        <v>90036</v>
      </c>
      <c r="M163" t="s">
        <v>85</v>
      </c>
      <c r="N163" t="s">
        <v>103</v>
      </c>
      <c r="O163" t="s">
        <v>47</v>
      </c>
      <c r="P163" t="s">
        <v>104</v>
      </c>
      <c r="Q163" t="s">
        <v>105</v>
      </c>
      <c r="R163">
        <v>5340</v>
      </c>
      <c r="S163">
        <v>6</v>
      </c>
      <c r="T163">
        <v>0</v>
      </c>
      <c r="U163">
        <v>1068.1600000000001</v>
      </c>
    </row>
    <row r="164" spans="1:21" x14ac:dyDescent="0.35">
      <c r="A164">
        <v>163</v>
      </c>
      <c r="B164" t="s">
        <v>239</v>
      </c>
      <c r="C164" s="1">
        <v>46067</v>
      </c>
      <c r="D164" s="1">
        <v>46071</v>
      </c>
      <c r="E164" t="s">
        <v>35</v>
      </c>
      <c r="F164" t="s">
        <v>153</v>
      </c>
      <c r="G164" t="s">
        <v>154</v>
      </c>
      <c r="H164" t="s">
        <v>25</v>
      </c>
      <c r="I164" t="s">
        <v>26</v>
      </c>
      <c r="J164" t="s">
        <v>89</v>
      </c>
      <c r="K164" t="s">
        <v>90</v>
      </c>
      <c r="L164">
        <v>90036</v>
      </c>
      <c r="M164" t="s">
        <v>85</v>
      </c>
      <c r="N164" t="s">
        <v>95</v>
      </c>
      <c r="O164" t="s">
        <v>47</v>
      </c>
      <c r="P164" t="s">
        <v>48</v>
      </c>
      <c r="Q164" t="s">
        <v>96</v>
      </c>
      <c r="R164">
        <v>22</v>
      </c>
      <c r="S164">
        <v>1</v>
      </c>
      <c r="T164">
        <v>0</v>
      </c>
      <c r="U164">
        <v>7</v>
      </c>
    </row>
    <row r="165" spans="1:21" x14ac:dyDescent="0.35">
      <c r="A165">
        <v>164</v>
      </c>
      <c r="B165" t="s">
        <v>239</v>
      </c>
      <c r="C165" s="1">
        <v>46067</v>
      </c>
      <c r="D165" s="1">
        <v>46071</v>
      </c>
      <c r="E165" t="s">
        <v>50</v>
      </c>
      <c r="F165" t="s">
        <v>153</v>
      </c>
      <c r="G165" t="s">
        <v>154</v>
      </c>
      <c r="H165" t="s">
        <v>25</v>
      </c>
      <c r="I165" t="s">
        <v>26</v>
      </c>
      <c r="J165" t="s">
        <v>89</v>
      </c>
      <c r="K165" t="s">
        <v>90</v>
      </c>
      <c r="L165">
        <v>90036</v>
      </c>
      <c r="M165" t="s">
        <v>85</v>
      </c>
      <c r="N165" t="s">
        <v>77</v>
      </c>
      <c r="O165" t="s">
        <v>31</v>
      </c>
      <c r="P165" t="s">
        <v>78</v>
      </c>
      <c r="Q165" t="s">
        <v>79</v>
      </c>
      <c r="R165">
        <v>2100</v>
      </c>
      <c r="S165">
        <v>5</v>
      </c>
      <c r="T165">
        <v>0</v>
      </c>
      <c r="U165">
        <v>-103.91</v>
      </c>
    </row>
    <row r="166" spans="1:21" x14ac:dyDescent="0.35">
      <c r="A166">
        <v>165</v>
      </c>
      <c r="B166" t="s">
        <v>240</v>
      </c>
      <c r="C166" s="1">
        <v>46199</v>
      </c>
      <c r="D166" s="1">
        <v>46205</v>
      </c>
      <c r="E166" t="s">
        <v>35</v>
      </c>
      <c r="F166" t="s">
        <v>241</v>
      </c>
      <c r="G166" t="s">
        <v>242</v>
      </c>
      <c r="H166" t="s">
        <v>25</v>
      </c>
      <c r="I166" t="s">
        <v>26</v>
      </c>
      <c r="J166" t="s">
        <v>229</v>
      </c>
      <c r="K166" t="s">
        <v>230</v>
      </c>
      <c r="L166">
        <v>30318</v>
      </c>
      <c r="M166" t="s">
        <v>65</v>
      </c>
      <c r="N166" t="s">
        <v>51</v>
      </c>
      <c r="O166" t="s">
        <v>43</v>
      </c>
      <c r="P166" t="s">
        <v>52</v>
      </c>
      <c r="Q166" t="s">
        <v>53</v>
      </c>
      <c r="R166">
        <v>44.8</v>
      </c>
      <c r="S166">
        <v>7</v>
      </c>
      <c r="T166">
        <v>0.2</v>
      </c>
      <c r="U166">
        <v>7.71</v>
      </c>
    </row>
    <row r="167" spans="1:21" x14ac:dyDescent="0.35">
      <c r="A167">
        <v>166</v>
      </c>
      <c r="B167" t="s">
        <v>240</v>
      </c>
      <c r="C167" s="1">
        <v>46199</v>
      </c>
      <c r="D167" s="1">
        <v>46205</v>
      </c>
      <c r="E167" t="s">
        <v>94</v>
      </c>
      <c r="F167" t="s">
        <v>241</v>
      </c>
      <c r="G167" t="s">
        <v>242</v>
      </c>
      <c r="H167" t="s">
        <v>25</v>
      </c>
      <c r="I167" t="s">
        <v>26</v>
      </c>
      <c r="J167" t="s">
        <v>229</v>
      </c>
      <c r="K167" t="s">
        <v>230</v>
      </c>
      <c r="L167">
        <v>30318</v>
      </c>
      <c r="M167" t="s">
        <v>65</v>
      </c>
      <c r="N167" t="s">
        <v>121</v>
      </c>
      <c r="O167" t="s">
        <v>47</v>
      </c>
      <c r="P167" t="s">
        <v>122</v>
      </c>
      <c r="Q167" t="s">
        <v>123</v>
      </c>
      <c r="R167">
        <v>2160</v>
      </c>
      <c r="S167">
        <v>4</v>
      </c>
      <c r="T167">
        <v>0</v>
      </c>
      <c r="U167">
        <v>410.02</v>
      </c>
    </row>
    <row r="168" spans="1:21" x14ac:dyDescent="0.35">
      <c r="A168">
        <v>167</v>
      </c>
      <c r="B168" t="s">
        <v>240</v>
      </c>
      <c r="C168" s="1">
        <v>46199</v>
      </c>
      <c r="D168" s="1">
        <v>46205</v>
      </c>
      <c r="E168" t="s">
        <v>50</v>
      </c>
      <c r="F168" t="s">
        <v>241</v>
      </c>
      <c r="G168" t="s">
        <v>242</v>
      </c>
      <c r="H168" t="s">
        <v>25</v>
      </c>
      <c r="I168" t="s">
        <v>26</v>
      </c>
      <c r="J168" t="s">
        <v>229</v>
      </c>
      <c r="K168" t="s">
        <v>230</v>
      </c>
      <c r="L168">
        <v>30318</v>
      </c>
      <c r="M168" t="s">
        <v>65</v>
      </c>
      <c r="N168" t="s">
        <v>69</v>
      </c>
      <c r="O168" t="s">
        <v>43</v>
      </c>
      <c r="P168" t="s">
        <v>70</v>
      </c>
      <c r="Q168" t="s">
        <v>71</v>
      </c>
      <c r="R168">
        <v>108</v>
      </c>
      <c r="S168">
        <v>3</v>
      </c>
      <c r="T168">
        <v>0.2</v>
      </c>
      <c r="U168">
        <v>4.49</v>
      </c>
    </row>
    <row r="169" spans="1:21" x14ac:dyDescent="0.35">
      <c r="A169">
        <v>168</v>
      </c>
      <c r="B169" t="s">
        <v>243</v>
      </c>
      <c r="C169" s="1">
        <v>46126</v>
      </c>
      <c r="D169" s="1">
        <v>46128</v>
      </c>
      <c r="E169" t="s">
        <v>22</v>
      </c>
      <c r="F169" t="s">
        <v>101</v>
      </c>
      <c r="G169" t="s">
        <v>102</v>
      </c>
      <c r="H169" t="s">
        <v>62</v>
      </c>
      <c r="I169" t="s">
        <v>26</v>
      </c>
      <c r="J169" t="s">
        <v>63</v>
      </c>
      <c r="K169" t="s">
        <v>64</v>
      </c>
      <c r="L169">
        <v>37211</v>
      </c>
      <c r="M169" t="s">
        <v>65</v>
      </c>
      <c r="N169" t="s">
        <v>97</v>
      </c>
      <c r="O169" t="s">
        <v>31</v>
      </c>
      <c r="P169" t="s">
        <v>98</v>
      </c>
      <c r="Q169" t="s">
        <v>99</v>
      </c>
      <c r="R169">
        <v>1560</v>
      </c>
      <c r="S169">
        <v>6</v>
      </c>
      <c r="T169">
        <v>0</v>
      </c>
      <c r="U169">
        <v>156.37</v>
      </c>
    </row>
    <row r="170" spans="1:21" x14ac:dyDescent="0.35">
      <c r="A170">
        <v>169</v>
      </c>
      <c r="B170" t="s">
        <v>244</v>
      </c>
      <c r="C170" s="1">
        <v>45711</v>
      </c>
      <c r="D170" s="1">
        <v>45717</v>
      </c>
      <c r="E170" t="s">
        <v>94</v>
      </c>
      <c r="F170" t="s">
        <v>142</v>
      </c>
      <c r="G170" t="s">
        <v>143</v>
      </c>
      <c r="H170" t="s">
        <v>62</v>
      </c>
      <c r="I170" t="s">
        <v>26</v>
      </c>
      <c r="J170" t="s">
        <v>83</v>
      </c>
      <c r="K170" t="s">
        <v>84</v>
      </c>
      <c r="L170">
        <v>98103</v>
      </c>
      <c r="M170" t="s">
        <v>85</v>
      </c>
      <c r="N170" t="s">
        <v>97</v>
      </c>
      <c r="O170" t="s">
        <v>31</v>
      </c>
      <c r="P170" t="s">
        <v>98</v>
      </c>
      <c r="Q170" t="s">
        <v>99</v>
      </c>
      <c r="R170">
        <v>1040</v>
      </c>
      <c r="S170">
        <v>4</v>
      </c>
      <c r="T170">
        <v>0</v>
      </c>
      <c r="U170">
        <v>105.93</v>
      </c>
    </row>
    <row r="171" spans="1:21" x14ac:dyDescent="0.35">
      <c r="A171">
        <v>170</v>
      </c>
      <c r="B171" t="s">
        <v>244</v>
      </c>
      <c r="C171" s="1">
        <v>45711</v>
      </c>
      <c r="D171" s="1">
        <v>45717</v>
      </c>
      <c r="E171" t="s">
        <v>50</v>
      </c>
      <c r="F171" t="s">
        <v>142</v>
      </c>
      <c r="G171" t="s">
        <v>143</v>
      </c>
      <c r="H171" t="s">
        <v>62</v>
      </c>
      <c r="I171" t="s">
        <v>26</v>
      </c>
      <c r="J171" t="s">
        <v>83</v>
      </c>
      <c r="K171" t="s">
        <v>84</v>
      </c>
      <c r="L171">
        <v>98103</v>
      </c>
      <c r="M171" t="s">
        <v>85</v>
      </c>
      <c r="N171" t="s">
        <v>30</v>
      </c>
      <c r="O171" t="s">
        <v>31</v>
      </c>
      <c r="P171" t="s">
        <v>32</v>
      </c>
      <c r="Q171" t="s">
        <v>33</v>
      </c>
      <c r="R171">
        <v>1380</v>
      </c>
      <c r="S171">
        <v>6</v>
      </c>
      <c r="T171">
        <v>0</v>
      </c>
      <c r="U171">
        <v>164.35</v>
      </c>
    </row>
    <row r="172" spans="1:21" x14ac:dyDescent="0.35">
      <c r="A172">
        <v>171</v>
      </c>
      <c r="B172" t="s">
        <v>244</v>
      </c>
      <c r="C172" s="1">
        <v>45711</v>
      </c>
      <c r="D172" s="1">
        <v>45717</v>
      </c>
      <c r="E172" t="s">
        <v>35</v>
      </c>
      <c r="F172" t="s">
        <v>142</v>
      </c>
      <c r="G172" t="s">
        <v>143</v>
      </c>
      <c r="H172" t="s">
        <v>62</v>
      </c>
      <c r="I172" t="s">
        <v>26</v>
      </c>
      <c r="J172" t="s">
        <v>83</v>
      </c>
      <c r="K172" t="s">
        <v>84</v>
      </c>
      <c r="L172">
        <v>98103</v>
      </c>
      <c r="M172" t="s">
        <v>85</v>
      </c>
      <c r="N172" t="s">
        <v>121</v>
      </c>
      <c r="O172" t="s">
        <v>47</v>
      </c>
      <c r="P172" t="s">
        <v>122</v>
      </c>
      <c r="Q172" t="s">
        <v>123</v>
      </c>
      <c r="R172">
        <v>2916</v>
      </c>
      <c r="S172">
        <v>6</v>
      </c>
      <c r="T172">
        <v>0.1</v>
      </c>
      <c r="U172">
        <v>380.21</v>
      </c>
    </row>
    <row r="173" spans="1:21" x14ac:dyDescent="0.35">
      <c r="A173">
        <v>172</v>
      </c>
      <c r="B173" t="s">
        <v>244</v>
      </c>
      <c r="C173" s="1">
        <v>45711</v>
      </c>
      <c r="D173" s="1">
        <v>45717</v>
      </c>
      <c r="E173" t="s">
        <v>22</v>
      </c>
      <c r="F173" t="s">
        <v>142</v>
      </c>
      <c r="G173" t="s">
        <v>143</v>
      </c>
      <c r="H173" t="s">
        <v>62</v>
      </c>
      <c r="I173" t="s">
        <v>26</v>
      </c>
      <c r="J173" t="s">
        <v>83</v>
      </c>
      <c r="K173" t="s">
        <v>84</v>
      </c>
      <c r="L173">
        <v>98103</v>
      </c>
      <c r="M173" t="s">
        <v>85</v>
      </c>
      <c r="N173" t="s">
        <v>106</v>
      </c>
      <c r="O173" t="s">
        <v>43</v>
      </c>
      <c r="P173" t="s">
        <v>107</v>
      </c>
      <c r="Q173" t="s">
        <v>108</v>
      </c>
      <c r="R173">
        <v>63</v>
      </c>
      <c r="S173">
        <v>7</v>
      </c>
      <c r="T173">
        <v>0</v>
      </c>
      <c r="U173">
        <v>18.5</v>
      </c>
    </row>
    <row r="174" spans="1:21" x14ac:dyDescent="0.35">
      <c r="A174">
        <v>173</v>
      </c>
      <c r="B174" t="s">
        <v>245</v>
      </c>
      <c r="C174" s="1">
        <v>45478</v>
      </c>
      <c r="D174" s="1">
        <v>45483</v>
      </c>
      <c r="E174" t="s">
        <v>50</v>
      </c>
      <c r="F174" t="s">
        <v>246</v>
      </c>
      <c r="G174" t="s">
        <v>247</v>
      </c>
      <c r="H174" t="s">
        <v>25</v>
      </c>
      <c r="I174" t="s">
        <v>26</v>
      </c>
      <c r="J174" t="s">
        <v>248</v>
      </c>
      <c r="K174" t="s">
        <v>174</v>
      </c>
      <c r="L174">
        <v>75217</v>
      </c>
      <c r="M174" t="s">
        <v>41</v>
      </c>
      <c r="N174" t="s">
        <v>97</v>
      </c>
      <c r="O174" t="s">
        <v>31</v>
      </c>
      <c r="P174" t="s">
        <v>98</v>
      </c>
      <c r="Q174" t="s">
        <v>99</v>
      </c>
      <c r="R174">
        <v>364</v>
      </c>
      <c r="S174">
        <v>2</v>
      </c>
      <c r="T174">
        <v>0.3</v>
      </c>
      <c r="U174">
        <v>-28.23</v>
      </c>
    </row>
    <row r="175" spans="1:21" x14ac:dyDescent="0.35">
      <c r="A175">
        <v>174</v>
      </c>
      <c r="B175" t="s">
        <v>249</v>
      </c>
      <c r="C175" s="1">
        <v>46162</v>
      </c>
      <c r="D175" s="1">
        <v>46163</v>
      </c>
      <c r="E175" t="s">
        <v>35</v>
      </c>
      <c r="F175" t="s">
        <v>250</v>
      </c>
      <c r="G175" t="s">
        <v>251</v>
      </c>
      <c r="H175" t="s">
        <v>38</v>
      </c>
      <c r="I175" t="s">
        <v>26</v>
      </c>
      <c r="J175" t="s">
        <v>229</v>
      </c>
      <c r="K175" t="s">
        <v>230</v>
      </c>
      <c r="L175">
        <v>30318</v>
      </c>
      <c r="M175" t="s">
        <v>65</v>
      </c>
      <c r="N175" t="s">
        <v>66</v>
      </c>
      <c r="O175" t="s">
        <v>47</v>
      </c>
      <c r="P175" t="s">
        <v>67</v>
      </c>
      <c r="Q175" t="s">
        <v>68</v>
      </c>
      <c r="R175">
        <v>1386</v>
      </c>
      <c r="S175">
        <v>6</v>
      </c>
      <c r="T175">
        <v>0.3</v>
      </c>
      <c r="U175">
        <v>-14.02</v>
      </c>
    </row>
    <row r="176" spans="1:21" x14ac:dyDescent="0.35">
      <c r="A176">
        <v>175</v>
      </c>
      <c r="B176" t="s">
        <v>249</v>
      </c>
      <c r="C176" s="1">
        <v>46162</v>
      </c>
      <c r="D176" s="1">
        <v>46163</v>
      </c>
      <c r="E176" t="s">
        <v>94</v>
      </c>
      <c r="F176" t="s">
        <v>250</v>
      </c>
      <c r="G176" t="s">
        <v>251</v>
      </c>
      <c r="H176" t="s">
        <v>38</v>
      </c>
      <c r="I176" t="s">
        <v>26</v>
      </c>
      <c r="J176" t="s">
        <v>229</v>
      </c>
      <c r="K176" t="s">
        <v>230</v>
      </c>
      <c r="L176">
        <v>30318</v>
      </c>
      <c r="M176" t="s">
        <v>65</v>
      </c>
      <c r="N176" t="s">
        <v>103</v>
      </c>
      <c r="O176" t="s">
        <v>47</v>
      </c>
      <c r="P176" t="s">
        <v>104</v>
      </c>
      <c r="Q176" t="s">
        <v>105</v>
      </c>
      <c r="R176">
        <v>3560</v>
      </c>
      <c r="S176">
        <v>5</v>
      </c>
      <c r="T176">
        <v>0.2</v>
      </c>
      <c r="U176">
        <v>285.82</v>
      </c>
    </row>
    <row r="177" spans="1:21" x14ac:dyDescent="0.35">
      <c r="A177">
        <v>176</v>
      </c>
      <c r="B177" t="s">
        <v>249</v>
      </c>
      <c r="C177" s="1">
        <v>46162</v>
      </c>
      <c r="D177" s="1">
        <v>46163</v>
      </c>
      <c r="E177" t="s">
        <v>22</v>
      </c>
      <c r="F177" t="s">
        <v>250</v>
      </c>
      <c r="G177" t="s">
        <v>251</v>
      </c>
      <c r="H177" t="s">
        <v>38</v>
      </c>
      <c r="I177" t="s">
        <v>26</v>
      </c>
      <c r="J177" t="s">
        <v>229</v>
      </c>
      <c r="K177" t="s">
        <v>230</v>
      </c>
      <c r="L177">
        <v>30318</v>
      </c>
      <c r="M177" t="s">
        <v>65</v>
      </c>
      <c r="N177" t="s">
        <v>106</v>
      </c>
      <c r="O177" t="s">
        <v>43</v>
      </c>
      <c r="P177" t="s">
        <v>107</v>
      </c>
      <c r="Q177" t="s">
        <v>108</v>
      </c>
      <c r="R177">
        <v>27</v>
      </c>
      <c r="S177">
        <v>3</v>
      </c>
      <c r="T177">
        <v>0</v>
      </c>
      <c r="U177">
        <v>8.69</v>
      </c>
    </row>
    <row r="178" spans="1:21" x14ac:dyDescent="0.35">
      <c r="A178">
        <v>177</v>
      </c>
      <c r="B178" t="s">
        <v>252</v>
      </c>
      <c r="C178" s="1">
        <v>45727</v>
      </c>
      <c r="D178" s="1">
        <v>45731</v>
      </c>
      <c r="E178" t="s">
        <v>94</v>
      </c>
      <c r="F178" t="s">
        <v>253</v>
      </c>
      <c r="G178" t="s">
        <v>254</v>
      </c>
      <c r="H178" t="s">
        <v>62</v>
      </c>
      <c r="I178" t="s">
        <v>26</v>
      </c>
      <c r="J178" t="s">
        <v>229</v>
      </c>
      <c r="K178" t="s">
        <v>230</v>
      </c>
      <c r="L178">
        <v>30318</v>
      </c>
      <c r="M178" t="s">
        <v>65</v>
      </c>
      <c r="N178" t="s">
        <v>121</v>
      </c>
      <c r="O178" t="s">
        <v>47</v>
      </c>
      <c r="P178" t="s">
        <v>122</v>
      </c>
      <c r="Q178" t="s">
        <v>123</v>
      </c>
      <c r="R178">
        <v>3240</v>
      </c>
      <c r="S178">
        <v>6</v>
      </c>
      <c r="T178">
        <v>0</v>
      </c>
      <c r="U178">
        <v>615.82000000000005</v>
      </c>
    </row>
    <row r="179" spans="1:21" x14ac:dyDescent="0.35">
      <c r="A179">
        <v>178</v>
      </c>
      <c r="B179" t="s">
        <v>252</v>
      </c>
      <c r="C179" s="1">
        <v>45727</v>
      </c>
      <c r="D179" s="1">
        <v>45731</v>
      </c>
      <c r="E179" t="s">
        <v>94</v>
      </c>
      <c r="F179" t="s">
        <v>253</v>
      </c>
      <c r="G179" t="s">
        <v>254</v>
      </c>
      <c r="H179" t="s">
        <v>62</v>
      </c>
      <c r="I179" t="s">
        <v>26</v>
      </c>
      <c r="J179" t="s">
        <v>229</v>
      </c>
      <c r="K179" t="s">
        <v>230</v>
      </c>
      <c r="L179">
        <v>30318</v>
      </c>
      <c r="M179" t="s">
        <v>65</v>
      </c>
      <c r="N179" t="s">
        <v>51</v>
      </c>
      <c r="O179" t="s">
        <v>43</v>
      </c>
      <c r="P179" t="s">
        <v>52</v>
      </c>
      <c r="Q179" t="s">
        <v>53</v>
      </c>
      <c r="R179">
        <v>16</v>
      </c>
      <c r="S179">
        <v>2</v>
      </c>
      <c r="T179">
        <v>0</v>
      </c>
      <c r="U179">
        <v>4.78</v>
      </c>
    </row>
    <row r="180" spans="1:21" x14ac:dyDescent="0.35">
      <c r="A180">
        <v>179</v>
      </c>
      <c r="B180" t="s">
        <v>255</v>
      </c>
      <c r="C180" s="1">
        <v>45333</v>
      </c>
      <c r="D180" s="1">
        <v>45334</v>
      </c>
      <c r="E180" t="s">
        <v>50</v>
      </c>
      <c r="F180" t="s">
        <v>87</v>
      </c>
      <c r="G180" t="s">
        <v>88</v>
      </c>
      <c r="H180" t="s">
        <v>62</v>
      </c>
      <c r="I180" t="s">
        <v>26</v>
      </c>
      <c r="J180" t="s">
        <v>89</v>
      </c>
      <c r="K180" t="s">
        <v>90</v>
      </c>
      <c r="L180">
        <v>90036</v>
      </c>
      <c r="M180" t="s">
        <v>85</v>
      </c>
      <c r="N180" t="s">
        <v>46</v>
      </c>
      <c r="O180" t="s">
        <v>47</v>
      </c>
      <c r="P180" t="s">
        <v>48</v>
      </c>
      <c r="Q180" t="s">
        <v>49</v>
      </c>
      <c r="R180">
        <v>128</v>
      </c>
      <c r="S180">
        <v>4</v>
      </c>
      <c r="T180">
        <v>0</v>
      </c>
      <c r="U180">
        <v>26.85</v>
      </c>
    </row>
    <row r="181" spans="1:21" x14ac:dyDescent="0.35">
      <c r="A181">
        <v>180</v>
      </c>
      <c r="B181" t="s">
        <v>256</v>
      </c>
      <c r="C181" s="1">
        <v>46243</v>
      </c>
      <c r="D181" s="1">
        <v>46248</v>
      </c>
      <c r="E181" t="s">
        <v>94</v>
      </c>
      <c r="F181" t="s">
        <v>257</v>
      </c>
      <c r="G181" t="s">
        <v>258</v>
      </c>
      <c r="H181" t="s">
        <v>38</v>
      </c>
      <c r="I181" t="s">
        <v>26</v>
      </c>
      <c r="J181" t="s">
        <v>63</v>
      </c>
      <c r="K181" t="s">
        <v>64</v>
      </c>
      <c r="L181">
        <v>37211</v>
      </c>
      <c r="M181" t="s">
        <v>65</v>
      </c>
      <c r="N181" t="s">
        <v>30</v>
      </c>
      <c r="O181" t="s">
        <v>31</v>
      </c>
      <c r="P181" t="s">
        <v>32</v>
      </c>
      <c r="Q181" t="s">
        <v>33</v>
      </c>
      <c r="R181">
        <v>207</v>
      </c>
      <c r="S181">
        <v>1</v>
      </c>
      <c r="T181">
        <v>0.1</v>
      </c>
      <c r="U181">
        <v>13.1</v>
      </c>
    </row>
    <row r="182" spans="1:21" x14ac:dyDescent="0.35">
      <c r="A182">
        <v>181</v>
      </c>
      <c r="B182" t="s">
        <v>259</v>
      </c>
      <c r="C182" s="1">
        <v>45980</v>
      </c>
      <c r="D182" s="1">
        <v>45984</v>
      </c>
      <c r="E182" t="s">
        <v>35</v>
      </c>
      <c r="F182" t="s">
        <v>153</v>
      </c>
      <c r="G182" t="s">
        <v>154</v>
      </c>
      <c r="H182" t="s">
        <v>25</v>
      </c>
      <c r="I182" t="s">
        <v>26</v>
      </c>
      <c r="J182" t="s">
        <v>89</v>
      </c>
      <c r="K182" t="s">
        <v>90</v>
      </c>
      <c r="L182">
        <v>90036</v>
      </c>
      <c r="M182" t="s">
        <v>85</v>
      </c>
      <c r="N182" t="s">
        <v>30</v>
      </c>
      <c r="O182" t="s">
        <v>31</v>
      </c>
      <c r="P182" t="s">
        <v>32</v>
      </c>
      <c r="Q182" t="s">
        <v>33</v>
      </c>
      <c r="R182">
        <v>920</v>
      </c>
      <c r="S182">
        <v>4</v>
      </c>
      <c r="T182">
        <v>0</v>
      </c>
      <c r="U182">
        <v>110.8</v>
      </c>
    </row>
    <row r="183" spans="1:21" x14ac:dyDescent="0.35">
      <c r="A183">
        <v>182</v>
      </c>
      <c r="B183" t="s">
        <v>259</v>
      </c>
      <c r="C183" s="1">
        <v>45980</v>
      </c>
      <c r="D183" s="1">
        <v>45984</v>
      </c>
      <c r="E183" t="s">
        <v>22</v>
      </c>
      <c r="F183" t="s">
        <v>153</v>
      </c>
      <c r="G183" t="s">
        <v>154</v>
      </c>
      <c r="H183" t="s">
        <v>25</v>
      </c>
      <c r="I183" t="s">
        <v>26</v>
      </c>
      <c r="J183" t="s">
        <v>89</v>
      </c>
      <c r="K183" t="s">
        <v>90</v>
      </c>
      <c r="L183">
        <v>90036</v>
      </c>
      <c r="M183" t="s">
        <v>85</v>
      </c>
      <c r="N183" t="s">
        <v>109</v>
      </c>
      <c r="O183" t="s">
        <v>31</v>
      </c>
      <c r="P183" t="s">
        <v>110</v>
      </c>
      <c r="Q183" t="s">
        <v>111</v>
      </c>
      <c r="R183">
        <v>70</v>
      </c>
      <c r="S183">
        <v>4</v>
      </c>
      <c r="T183">
        <v>0.3</v>
      </c>
      <c r="U183">
        <v>7.06</v>
      </c>
    </row>
    <row r="184" spans="1:21" x14ac:dyDescent="0.35">
      <c r="A184">
        <v>183</v>
      </c>
      <c r="B184" t="s">
        <v>259</v>
      </c>
      <c r="C184" s="1">
        <v>45980</v>
      </c>
      <c r="D184" s="1">
        <v>45984</v>
      </c>
      <c r="E184" t="s">
        <v>35</v>
      </c>
      <c r="F184" t="s">
        <v>153</v>
      </c>
      <c r="G184" t="s">
        <v>154</v>
      </c>
      <c r="H184" t="s">
        <v>25</v>
      </c>
      <c r="I184" t="s">
        <v>26</v>
      </c>
      <c r="J184" t="s">
        <v>89</v>
      </c>
      <c r="K184" t="s">
        <v>90</v>
      </c>
      <c r="L184">
        <v>90036</v>
      </c>
      <c r="M184" t="s">
        <v>85</v>
      </c>
      <c r="N184" t="s">
        <v>121</v>
      </c>
      <c r="O184" t="s">
        <v>47</v>
      </c>
      <c r="P184" t="s">
        <v>122</v>
      </c>
      <c r="Q184" t="s">
        <v>123</v>
      </c>
      <c r="R184">
        <v>2430</v>
      </c>
      <c r="S184">
        <v>5</v>
      </c>
      <c r="T184">
        <v>0.1</v>
      </c>
      <c r="U184">
        <v>315.24</v>
      </c>
    </row>
    <row r="185" spans="1:21" x14ac:dyDescent="0.35">
      <c r="A185">
        <v>184</v>
      </c>
      <c r="B185" t="s">
        <v>259</v>
      </c>
      <c r="C185" s="1">
        <v>45980</v>
      </c>
      <c r="D185" s="1">
        <v>45984</v>
      </c>
      <c r="E185" t="s">
        <v>50</v>
      </c>
      <c r="F185" t="s">
        <v>153</v>
      </c>
      <c r="G185" t="s">
        <v>154</v>
      </c>
      <c r="H185" t="s">
        <v>25</v>
      </c>
      <c r="I185" t="s">
        <v>26</v>
      </c>
      <c r="J185" t="s">
        <v>89</v>
      </c>
      <c r="K185" t="s">
        <v>90</v>
      </c>
      <c r="L185">
        <v>90036</v>
      </c>
      <c r="M185" t="s">
        <v>85</v>
      </c>
      <c r="N185" t="s">
        <v>103</v>
      </c>
      <c r="O185" t="s">
        <v>47</v>
      </c>
      <c r="P185" t="s">
        <v>104</v>
      </c>
      <c r="Q185" t="s">
        <v>105</v>
      </c>
      <c r="R185">
        <v>2403</v>
      </c>
      <c r="S185">
        <v>3</v>
      </c>
      <c r="T185">
        <v>0.1</v>
      </c>
      <c r="U185">
        <v>338.15</v>
      </c>
    </row>
    <row r="186" spans="1:21" x14ac:dyDescent="0.35">
      <c r="A186">
        <v>185</v>
      </c>
      <c r="B186" t="s">
        <v>260</v>
      </c>
      <c r="C186" s="1">
        <v>45515</v>
      </c>
      <c r="D186" s="1">
        <v>45517</v>
      </c>
      <c r="E186" t="s">
        <v>94</v>
      </c>
      <c r="F186" t="s">
        <v>261</v>
      </c>
      <c r="G186" t="s">
        <v>262</v>
      </c>
      <c r="H186" t="s">
        <v>38</v>
      </c>
      <c r="I186" t="s">
        <v>26</v>
      </c>
      <c r="J186" t="s">
        <v>263</v>
      </c>
      <c r="K186" t="s">
        <v>264</v>
      </c>
      <c r="L186">
        <v>60610</v>
      </c>
      <c r="M186" t="s">
        <v>41</v>
      </c>
      <c r="N186" t="s">
        <v>113</v>
      </c>
      <c r="O186" t="s">
        <v>43</v>
      </c>
      <c r="P186" t="s">
        <v>114</v>
      </c>
      <c r="Q186" t="s">
        <v>115</v>
      </c>
      <c r="R186">
        <v>11</v>
      </c>
      <c r="S186">
        <v>1</v>
      </c>
      <c r="T186">
        <v>0</v>
      </c>
      <c r="U186">
        <v>2.14</v>
      </c>
    </row>
    <row r="187" spans="1:21" x14ac:dyDescent="0.35">
      <c r="A187">
        <v>186</v>
      </c>
      <c r="B187" t="s">
        <v>260</v>
      </c>
      <c r="C187" s="1">
        <v>45515</v>
      </c>
      <c r="D187" s="1">
        <v>45517</v>
      </c>
      <c r="E187" t="s">
        <v>50</v>
      </c>
      <c r="F187" t="s">
        <v>261</v>
      </c>
      <c r="G187" t="s">
        <v>262</v>
      </c>
      <c r="H187" t="s">
        <v>38</v>
      </c>
      <c r="I187" t="s">
        <v>26</v>
      </c>
      <c r="J187" t="s">
        <v>263</v>
      </c>
      <c r="K187" t="s">
        <v>264</v>
      </c>
      <c r="L187">
        <v>60610</v>
      </c>
      <c r="M187" t="s">
        <v>41</v>
      </c>
      <c r="N187" t="s">
        <v>95</v>
      </c>
      <c r="O187" t="s">
        <v>47</v>
      </c>
      <c r="P187" t="s">
        <v>48</v>
      </c>
      <c r="Q187" t="s">
        <v>96</v>
      </c>
      <c r="R187">
        <v>154</v>
      </c>
      <c r="S187">
        <v>7</v>
      </c>
      <c r="T187">
        <v>0</v>
      </c>
      <c r="U187">
        <v>45.72</v>
      </c>
    </row>
    <row r="188" spans="1:21" x14ac:dyDescent="0.35">
      <c r="A188">
        <v>187</v>
      </c>
      <c r="B188" t="s">
        <v>265</v>
      </c>
      <c r="C188" s="1">
        <v>45717</v>
      </c>
      <c r="D188" s="1">
        <v>45721</v>
      </c>
      <c r="E188" t="s">
        <v>22</v>
      </c>
      <c r="F188" t="s">
        <v>266</v>
      </c>
      <c r="G188" t="s">
        <v>262</v>
      </c>
      <c r="H188" t="s">
        <v>62</v>
      </c>
      <c r="I188" t="s">
        <v>26</v>
      </c>
      <c r="J188" t="s">
        <v>63</v>
      </c>
      <c r="K188" t="s">
        <v>64</v>
      </c>
      <c r="L188">
        <v>37211</v>
      </c>
      <c r="M188" t="s">
        <v>65</v>
      </c>
      <c r="N188" t="s">
        <v>125</v>
      </c>
      <c r="O188" t="s">
        <v>43</v>
      </c>
      <c r="P188" t="s">
        <v>126</v>
      </c>
      <c r="Q188" t="s">
        <v>127</v>
      </c>
      <c r="R188">
        <v>504</v>
      </c>
      <c r="S188">
        <v>6</v>
      </c>
      <c r="T188">
        <v>0.3</v>
      </c>
      <c r="U188">
        <v>-1.06</v>
      </c>
    </row>
    <row r="189" spans="1:21" x14ac:dyDescent="0.35">
      <c r="A189">
        <v>188</v>
      </c>
      <c r="B189" t="s">
        <v>265</v>
      </c>
      <c r="C189" s="1">
        <v>45717</v>
      </c>
      <c r="D189" s="1">
        <v>45721</v>
      </c>
      <c r="E189" t="s">
        <v>35</v>
      </c>
      <c r="F189" t="s">
        <v>266</v>
      </c>
      <c r="G189" t="s">
        <v>262</v>
      </c>
      <c r="H189" t="s">
        <v>62</v>
      </c>
      <c r="I189" t="s">
        <v>26</v>
      </c>
      <c r="J189" t="s">
        <v>63</v>
      </c>
      <c r="K189" t="s">
        <v>64</v>
      </c>
      <c r="L189">
        <v>37211</v>
      </c>
      <c r="M189" t="s">
        <v>65</v>
      </c>
      <c r="N189" t="s">
        <v>97</v>
      </c>
      <c r="O189" t="s">
        <v>31</v>
      </c>
      <c r="P189" t="s">
        <v>98</v>
      </c>
      <c r="Q189" t="s">
        <v>99</v>
      </c>
      <c r="R189">
        <v>1560</v>
      </c>
      <c r="S189">
        <v>6</v>
      </c>
      <c r="T189">
        <v>0</v>
      </c>
      <c r="U189">
        <v>157.31</v>
      </c>
    </row>
    <row r="190" spans="1:21" x14ac:dyDescent="0.35">
      <c r="A190">
        <v>189</v>
      </c>
      <c r="B190" t="s">
        <v>267</v>
      </c>
      <c r="C190" s="1">
        <v>45450</v>
      </c>
      <c r="D190" s="1">
        <v>45454</v>
      </c>
      <c r="E190" t="s">
        <v>50</v>
      </c>
      <c r="F190" t="s">
        <v>92</v>
      </c>
      <c r="G190" t="s">
        <v>93</v>
      </c>
      <c r="H190" t="s">
        <v>38</v>
      </c>
      <c r="I190" t="s">
        <v>26</v>
      </c>
      <c r="J190" t="s">
        <v>75</v>
      </c>
      <c r="K190" t="s">
        <v>76</v>
      </c>
      <c r="L190">
        <v>2110</v>
      </c>
      <c r="M190" t="s">
        <v>29</v>
      </c>
      <c r="N190" t="s">
        <v>121</v>
      </c>
      <c r="O190" t="s">
        <v>47</v>
      </c>
      <c r="P190" t="s">
        <v>122</v>
      </c>
      <c r="Q190" t="s">
        <v>123</v>
      </c>
      <c r="R190">
        <v>3240</v>
      </c>
      <c r="S190">
        <v>6</v>
      </c>
      <c r="T190">
        <v>0</v>
      </c>
      <c r="U190">
        <v>613.88</v>
      </c>
    </row>
    <row r="191" spans="1:21" x14ac:dyDescent="0.35">
      <c r="A191">
        <v>190</v>
      </c>
      <c r="B191" t="s">
        <v>267</v>
      </c>
      <c r="C191" s="1">
        <v>45450</v>
      </c>
      <c r="D191" s="1">
        <v>45454</v>
      </c>
      <c r="E191" t="s">
        <v>50</v>
      </c>
      <c r="F191" t="s">
        <v>92</v>
      </c>
      <c r="G191" t="s">
        <v>93</v>
      </c>
      <c r="H191" t="s">
        <v>38</v>
      </c>
      <c r="I191" t="s">
        <v>26</v>
      </c>
      <c r="J191" t="s">
        <v>75</v>
      </c>
      <c r="K191" t="s">
        <v>76</v>
      </c>
      <c r="L191">
        <v>2110</v>
      </c>
      <c r="M191" t="s">
        <v>29</v>
      </c>
      <c r="N191" t="s">
        <v>66</v>
      </c>
      <c r="O191" t="s">
        <v>47</v>
      </c>
      <c r="P191" t="s">
        <v>67</v>
      </c>
      <c r="Q191" t="s">
        <v>68</v>
      </c>
      <c r="R191">
        <v>330</v>
      </c>
      <c r="S191">
        <v>1</v>
      </c>
      <c r="T191">
        <v>0</v>
      </c>
      <c r="U191">
        <v>55.83</v>
      </c>
    </row>
    <row r="192" spans="1:21" x14ac:dyDescent="0.35">
      <c r="A192">
        <v>191</v>
      </c>
      <c r="B192" t="s">
        <v>267</v>
      </c>
      <c r="C192" s="1">
        <v>45450</v>
      </c>
      <c r="D192" s="1">
        <v>45454</v>
      </c>
      <c r="E192" t="s">
        <v>94</v>
      </c>
      <c r="F192" t="s">
        <v>92</v>
      </c>
      <c r="G192" t="s">
        <v>93</v>
      </c>
      <c r="H192" t="s">
        <v>38</v>
      </c>
      <c r="I192" t="s">
        <v>26</v>
      </c>
      <c r="J192" t="s">
        <v>75</v>
      </c>
      <c r="K192" t="s">
        <v>76</v>
      </c>
      <c r="L192">
        <v>2110</v>
      </c>
      <c r="M192" t="s">
        <v>29</v>
      </c>
      <c r="N192" t="s">
        <v>97</v>
      </c>
      <c r="O192" t="s">
        <v>31</v>
      </c>
      <c r="P192" t="s">
        <v>98</v>
      </c>
      <c r="Q192" t="s">
        <v>99</v>
      </c>
      <c r="R192">
        <v>520</v>
      </c>
      <c r="S192">
        <v>2</v>
      </c>
      <c r="T192">
        <v>0</v>
      </c>
      <c r="U192">
        <v>52.7</v>
      </c>
    </row>
    <row r="193" spans="1:21" x14ac:dyDescent="0.35">
      <c r="A193">
        <v>192</v>
      </c>
      <c r="B193" t="s">
        <v>267</v>
      </c>
      <c r="C193" s="1">
        <v>45450</v>
      </c>
      <c r="D193" s="1">
        <v>45454</v>
      </c>
      <c r="E193" t="s">
        <v>35</v>
      </c>
      <c r="F193" t="s">
        <v>92</v>
      </c>
      <c r="G193" t="s">
        <v>93</v>
      </c>
      <c r="H193" t="s">
        <v>38</v>
      </c>
      <c r="I193" t="s">
        <v>26</v>
      </c>
      <c r="J193" t="s">
        <v>75</v>
      </c>
      <c r="K193" t="s">
        <v>76</v>
      </c>
      <c r="L193">
        <v>2110</v>
      </c>
      <c r="M193" t="s">
        <v>29</v>
      </c>
      <c r="N193" t="s">
        <v>69</v>
      </c>
      <c r="O193" t="s">
        <v>43</v>
      </c>
      <c r="P193" t="s">
        <v>70</v>
      </c>
      <c r="Q193" t="s">
        <v>71</v>
      </c>
      <c r="R193">
        <v>220.5</v>
      </c>
      <c r="S193">
        <v>7</v>
      </c>
      <c r="T193">
        <v>0.3</v>
      </c>
      <c r="U193">
        <v>-8.0299999999999994</v>
      </c>
    </row>
    <row r="194" spans="1:21" x14ac:dyDescent="0.35">
      <c r="A194">
        <v>193</v>
      </c>
      <c r="B194" t="s">
        <v>268</v>
      </c>
      <c r="C194" s="1">
        <v>45743</v>
      </c>
      <c r="D194" s="1">
        <v>45748</v>
      </c>
      <c r="E194" t="s">
        <v>22</v>
      </c>
      <c r="F194" t="s">
        <v>266</v>
      </c>
      <c r="G194" t="s">
        <v>262</v>
      </c>
      <c r="H194" t="s">
        <v>62</v>
      </c>
      <c r="I194" t="s">
        <v>26</v>
      </c>
      <c r="J194" t="s">
        <v>63</v>
      </c>
      <c r="K194" t="s">
        <v>64</v>
      </c>
      <c r="L194">
        <v>37211</v>
      </c>
      <c r="M194" t="s">
        <v>65</v>
      </c>
      <c r="N194" t="s">
        <v>97</v>
      </c>
      <c r="O194" t="s">
        <v>31</v>
      </c>
      <c r="P194" t="s">
        <v>98</v>
      </c>
      <c r="Q194" t="s">
        <v>99</v>
      </c>
      <c r="R194">
        <v>780</v>
      </c>
      <c r="S194">
        <v>3</v>
      </c>
      <c r="T194">
        <v>0</v>
      </c>
      <c r="U194">
        <v>79.540000000000006</v>
      </c>
    </row>
    <row r="195" spans="1:21" x14ac:dyDescent="0.35">
      <c r="A195">
        <v>194</v>
      </c>
      <c r="B195" t="s">
        <v>268</v>
      </c>
      <c r="C195" s="1">
        <v>45743</v>
      </c>
      <c r="D195" s="1">
        <v>45748</v>
      </c>
      <c r="E195" t="s">
        <v>22</v>
      </c>
      <c r="F195" t="s">
        <v>266</v>
      </c>
      <c r="G195" t="s">
        <v>262</v>
      </c>
      <c r="H195" t="s">
        <v>62</v>
      </c>
      <c r="I195" t="s">
        <v>26</v>
      </c>
      <c r="J195" t="s">
        <v>63</v>
      </c>
      <c r="K195" t="s">
        <v>64</v>
      </c>
      <c r="L195">
        <v>37211</v>
      </c>
      <c r="M195" t="s">
        <v>65</v>
      </c>
      <c r="N195" t="s">
        <v>46</v>
      </c>
      <c r="O195" t="s">
        <v>47</v>
      </c>
      <c r="P195" t="s">
        <v>48</v>
      </c>
      <c r="Q195" t="s">
        <v>49</v>
      </c>
      <c r="R195">
        <v>192</v>
      </c>
      <c r="S195">
        <v>6</v>
      </c>
      <c r="T195">
        <v>0</v>
      </c>
      <c r="U195">
        <v>42.36</v>
      </c>
    </row>
    <row r="196" spans="1:21" x14ac:dyDescent="0.35">
      <c r="A196">
        <v>195</v>
      </c>
      <c r="B196" t="s">
        <v>268</v>
      </c>
      <c r="C196" s="1">
        <v>45743</v>
      </c>
      <c r="D196" s="1">
        <v>45748</v>
      </c>
      <c r="E196" t="s">
        <v>22</v>
      </c>
      <c r="F196" t="s">
        <v>266</v>
      </c>
      <c r="G196" t="s">
        <v>262</v>
      </c>
      <c r="H196" t="s">
        <v>62</v>
      </c>
      <c r="I196" t="s">
        <v>26</v>
      </c>
      <c r="J196" t="s">
        <v>63</v>
      </c>
      <c r="K196" t="s">
        <v>64</v>
      </c>
      <c r="L196">
        <v>37211</v>
      </c>
      <c r="M196" t="s">
        <v>65</v>
      </c>
      <c r="N196" t="s">
        <v>95</v>
      </c>
      <c r="O196" t="s">
        <v>47</v>
      </c>
      <c r="P196" t="s">
        <v>48</v>
      </c>
      <c r="Q196" t="s">
        <v>96</v>
      </c>
      <c r="R196">
        <v>154</v>
      </c>
      <c r="S196">
        <v>7</v>
      </c>
      <c r="T196">
        <v>0</v>
      </c>
      <c r="U196">
        <v>44.99</v>
      </c>
    </row>
    <row r="197" spans="1:21" x14ac:dyDescent="0.35">
      <c r="A197">
        <v>196</v>
      </c>
      <c r="B197" t="s">
        <v>268</v>
      </c>
      <c r="C197" s="1">
        <v>45743</v>
      </c>
      <c r="D197" s="1">
        <v>45748</v>
      </c>
      <c r="E197" t="s">
        <v>35</v>
      </c>
      <c r="F197" t="s">
        <v>266</v>
      </c>
      <c r="G197" t="s">
        <v>262</v>
      </c>
      <c r="H197" t="s">
        <v>62</v>
      </c>
      <c r="I197" t="s">
        <v>26</v>
      </c>
      <c r="J197" t="s">
        <v>63</v>
      </c>
      <c r="K197" t="s">
        <v>64</v>
      </c>
      <c r="L197">
        <v>37211</v>
      </c>
      <c r="M197" t="s">
        <v>65</v>
      </c>
      <c r="N197" t="s">
        <v>69</v>
      </c>
      <c r="O197" t="s">
        <v>43</v>
      </c>
      <c r="P197" t="s">
        <v>70</v>
      </c>
      <c r="Q197" t="s">
        <v>71</v>
      </c>
      <c r="R197">
        <v>63</v>
      </c>
      <c r="S197">
        <v>2</v>
      </c>
      <c r="T197">
        <v>0.3</v>
      </c>
      <c r="U197">
        <v>-2.66</v>
      </c>
    </row>
    <row r="198" spans="1:21" x14ac:dyDescent="0.35">
      <c r="A198">
        <v>197</v>
      </c>
      <c r="B198" t="s">
        <v>269</v>
      </c>
      <c r="C198" s="1">
        <v>45932</v>
      </c>
      <c r="D198" s="1">
        <v>45936</v>
      </c>
      <c r="E198" t="s">
        <v>22</v>
      </c>
      <c r="F198" t="s">
        <v>92</v>
      </c>
      <c r="G198" t="s">
        <v>93</v>
      </c>
      <c r="H198" t="s">
        <v>38</v>
      </c>
      <c r="I198" t="s">
        <v>26</v>
      </c>
      <c r="J198" t="s">
        <v>75</v>
      </c>
      <c r="K198" t="s">
        <v>76</v>
      </c>
      <c r="L198">
        <v>2110</v>
      </c>
      <c r="M198" t="s">
        <v>29</v>
      </c>
      <c r="N198" t="s">
        <v>97</v>
      </c>
      <c r="O198" t="s">
        <v>31</v>
      </c>
      <c r="P198" t="s">
        <v>98</v>
      </c>
      <c r="Q198" t="s">
        <v>99</v>
      </c>
      <c r="R198">
        <v>260</v>
      </c>
      <c r="S198">
        <v>1</v>
      </c>
      <c r="T198">
        <v>0</v>
      </c>
      <c r="U198">
        <v>27.38</v>
      </c>
    </row>
    <row r="199" spans="1:21" x14ac:dyDescent="0.35">
      <c r="A199">
        <v>198</v>
      </c>
      <c r="B199" t="s">
        <v>269</v>
      </c>
      <c r="C199" s="1">
        <v>45932</v>
      </c>
      <c r="D199" s="1">
        <v>45936</v>
      </c>
      <c r="E199" t="s">
        <v>94</v>
      </c>
      <c r="F199" t="s">
        <v>92</v>
      </c>
      <c r="G199" t="s">
        <v>93</v>
      </c>
      <c r="H199" t="s">
        <v>38</v>
      </c>
      <c r="I199" t="s">
        <v>26</v>
      </c>
      <c r="J199" t="s">
        <v>75</v>
      </c>
      <c r="K199" t="s">
        <v>76</v>
      </c>
      <c r="L199">
        <v>2110</v>
      </c>
      <c r="M199" t="s">
        <v>29</v>
      </c>
      <c r="N199" t="s">
        <v>69</v>
      </c>
      <c r="O199" t="s">
        <v>43</v>
      </c>
      <c r="P199" t="s">
        <v>70</v>
      </c>
      <c r="Q199" t="s">
        <v>71</v>
      </c>
      <c r="R199">
        <v>22.5</v>
      </c>
      <c r="S199">
        <v>1</v>
      </c>
      <c r="T199">
        <v>0.5</v>
      </c>
      <c r="U199">
        <v>-2.3199999999999998</v>
      </c>
    </row>
    <row r="200" spans="1:21" x14ac:dyDescent="0.35">
      <c r="A200">
        <v>199</v>
      </c>
      <c r="B200" t="s">
        <v>269</v>
      </c>
      <c r="C200" s="1">
        <v>45932</v>
      </c>
      <c r="D200" s="1">
        <v>45936</v>
      </c>
      <c r="E200" t="s">
        <v>22</v>
      </c>
      <c r="F200" t="s">
        <v>92</v>
      </c>
      <c r="G200" t="s">
        <v>93</v>
      </c>
      <c r="H200" t="s">
        <v>38</v>
      </c>
      <c r="I200" t="s">
        <v>26</v>
      </c>
      <c r="J200" t="s">
        <v>75</v>
      </c>
      <c r="K200" t="s">
        <v>76</v>
      </c>
      <c r="L200">
        <v>2110</v>
      </c>
      <c r="M200" t="s">
        <v>29</v>
      </c>
      <c r="N200" t="s">
        <v>42</v>
      </c>
      <c r="O200" t="s">
        <v>43</v>
      </c>
      <c r="P200" t="s">
        <v>44</v>
      </c>
      <c r="Q200" t="s">
        <v>45</v>
      </c>
      <c r="R200">
        <v>42</v>
      </c>
      <c r="S200">
        <v>3</v>
      </c>
      <c r="T200">
        <v>0</v>
      </c>
      <c r="U200">
        <v>15.07</v>
      </c>
    </row>
    <row r="201" spans="1:21" x14ac:dyDescent="0.35">
      <c r="A201">
        <v>200</v>
      </c>
      <c r="B201" t="s">
        <v>270</v>
      </c>
      <c r="C201" s="1">
        <v>46276</v>
      </c>
      <c r="D201" s="1">
        <v>46277</v>
      </c>
      <c r="E201" t="s">
        <v>50</v>
      </c>
      <c r="F201" t="s">
        <v>206</v>
      </c>
      <c r="G201" t="s">
        <v>207</v>
      </c>
      <c r="H201" t="s">
        <v>25</v>
      </c>
      <c r="I201" t="s">
        <v>26</v>
      </c>
      <c r="J201" t="s">
        <v>119</v>
      </c>
      <c r="K201" t="s">
        <v>120</v>
      </c>
      <c r="L201">
        <v>97206</v>
      </c>
      <c r="M201" t="s">
        <v>85</v>
      </c>
      <c r="N201" t="s">
        <v>125</v>
      </c>
      <c r="O201" t="s">
        <v>43</v>
      </c>
      <c r="P201" t="s">
        <v>126</v>
      </c>
      <c r="Q201" t="s">
        <v>127</v>
      </c>
      <c r="R201">
        <v>360</v>
      </c>
      <c r="S201">
        <v>3</v>
      </c>
      <c r="T201">
        <v>0</v>
      </c>
      <c r="U201">
        <v>66.03</v>
      </c>
    </row>
    <row r="202" spans="1:21" x14ac:dyDescent="0.35">
      <c r="A202">
        <v>201</v>
      </c>
      <c r="B202" t="s">
        <v>270</v>
      </c>
      <c r="C202" s="1">
        <v>46276</v>
      </c>
      <c r="D202" s="1">
        <v>46277</v>
      </c>
      <c r="E202" t="s">
        <v>35</v>
      </c>
      <c r="F202" t="s">
        <v>206</v>
      </c>
      <c r="G202" t="s">
        <v>207</v>
      </c>
      <c r="H202" t="s">
        <v>25</v>
      </c>
      <c r="I202" t="s">
        <v>26</v>
      </c>
      <c r="J202" t="s">
        <v>119</v>
      </c>
      <c r="K202" t="s">
        <v>120</v>
      </c>
      <c r="L202">
        <v>97206</v>
      </c>
      <c r="M202" t="s">
        <v>85</v>
      </c>
      <c r="N202" t="s">
        <v>46</v>
      </c>
      <c r="O202" t="s">
        <v>47</v>
      </c>
      <c r="P202" t="s">
        <v>48</v>
      </c>
      <c r="Q202" t="s">
        <v>49</v>
      </c>
      <c r="R202">
        <v>44.8</v>
      </c>
      <c r="S202">
        <v>2</v>
      </c>
      <c r="T202">
        <v>0.3</v>
      </c>
      <c r="U202">
        <v>3.35</v>
      </c>
    </row>
    <row r="203" spans="1:21" x14ac:dyDescent="0.35">
      <c r="A203">
        <v>202</v>
      </c>
      <c r="B203" t="s">
        <v>271</v>
      </c>
      <c r="C203" s="1">
        <v>46270</v>
      </c>
      <c r="D203" s="1">
        <v>46273</v>
      </c>
      <c r="E203" t="s">
        <v>94</v>
      </c>
      <c r="F203" t="s">
        <v>272</v>
      </c>
      <c r="G203" t="s">
        <v>273</v>
      </c>
      <c r="H203" t="s">
        <v>25</v>
      </c>
      <c r="I203" t="s">
        <v>26</v>
      </c>
      <c r="J203" t="s">
        <v>162</v>
      </c>
      <c r="K203" t="s">
        <v>163</v>
      </c>
      <c r="L203">
        <v>28205</v>
      </c>
      <c r="M203" t="s">
        <v>65</v>
      </c>
      <c r="N203" t="s">
        <v>106</v>
      </c>
      <c r="O203" t="s">
        <v>43</v>
      </c>
      <c r="P203" t="s">
        <v>107</v>
      </c>
      <c r="Q203" t="s">
        <v>108</v>
      </c>
      <c r="R203">
        <v>32.4</v>
      </c>
      <c r="S203">
        <v>4</v>
      </c>
      <c r="T203">
        <v>0.1</v>
      </c>
      <c r="U203">
        <v>9.1300000000000008</v>
      </c>
    </row>
    <row r="204" spans="1:21" x14ac:dyDescent="0.35">
      <c r="A204">
        <v>203</v>
      </c>
      <c r="B204" t="s">
        <v>271</v>
      </c>
      <c r="C204" s="1">
        <v>46270</v>
      </c>
      <c r="D204" s="1">
        <v>46273</v>
      </c>
      <c r="E204" t="s">
        <v>50</v>
      </c>
      <c r="F204" t="s">
        <v>272</v>
      </c>
      <c r="G204" t="s">
        <v>273</v>
      </c>
      <c r="H204" t="s">
        <v>25</v>
      </c>
      <c r="I204" t="s">
        <v>26</v>
      </c>
      <c r="J204" t="s">
        <v>162</v>
      </c>
      <c r="K204" t="s">
        <v>163</v>
      </c>
      <c r="L204">
        <v>28205</v>
      </c>
      <c r="M204" t="s">
        <v>65</v>
      </c>
      <c r="N204" t="s">
        <v>97</v>
      </c>
      <c r="O204" t="s">
        <v>31</v>
      </c>
      <c r="P204" t="s">
        <v>98</v>
      </c>
      <c r="Q204" t="s">
        <v>99</v>
      </c>
      <c r="R204">
        <v>832</v>
      </c>
      <c r="S204">
        <v>4</v>
      </c>
      <c r="T204">
        <v>0.2</v>
      </c>
      <c r="U204">
        <v>-16.02</v>
      </c>
    </row>
    <row r="205" spans="1:21" x14ac:dyDescent="0.35">
      <c r="A205">
        <v>204</v>
      </c>
      <c r="B205" t="s">
        <v>274</v>
      </c>
      <c r="C205" s="1">
        <v>45922</v>
      </c>
      <c r="D205" s="1">
        <v>45923</v>
      </c>
      <c r="E205" t="s">
        <v>50</v>
      </c>
      <c r="F205" t="s">
        <v>117</v>
      </c>
      <c r="G205" t="s">
        <v>118</v>
      </c>
      <c r="H205" t="s">
        <v>25</v>
      </c>
      <c r="I205" t="s">
        <v>26</v>
      </c>
      <c r="J205" t="s">
        <v>119</v>
      </c>
      <c r="K205" t="s">
        <v>120</v>
      </c>
      <c r="L205">
        <v>97206</v>
      </c>
      <c r="M205" t="s">
        <v>85</v>
      </c>
      <c r="N205" t="s">
        <v>125</v>
      </c>
      <c r="O205" t="s">
        <v>43</v>
      </c>
      <c r="P205" t="s">
        <v>126</v>
      </c>
      <c r="Q205" t="s">
        <v>127</v>
      </c>
      <c r="R205">
        <v>108</v>
      </c>
      <c r="S205">
        <v>1</v>
      </c>
      <c r="T205">
        <v>0.1</v>
      </c>
      <c r="U205">
        <v>12.6</v>
      </c>
    </row>
    <row r="206" spans="1:21" x14ac:dyDescent="0.35">
      <c r="A206">
        <v>205</v>
      </c>
      <c r="B206" t="s">
        <v>274</v>
      </c>
      <c r="C206" s="1">
        <v>45922</v>
      </c>
      <c r="D206" s="1">
        <v>45923</v>
      </c>
      <c r="E206" t="s">
        <v>35</v>
      </c>
      <c r="F206" t="s">
        <v>117</v>
      </c>
      <c r="G206" t="s">
        <v>118</v>
      </c>
      <c r="H206" t="s">
        <v>25</v>
      </c>
      <c r="I206" t="s">
        <v>26</v>
      </c>
      <c r="J206" t="s">
        <v>119</v>
      </c>
      <c r="K206" t="s">
        <v>120</v>
      </c>
      <c r="L206">
        <v>97206</v>
      </c>
      <c r="M206" t="s">
        <v>85</v>
      </c>
      <c r="N206" t="s">
        <v>46</v>
      </c>
      <c r="O206" t="s">
        <v>47</v>
      </c>
      <c r="P206" t="s">
        <v>48</v>
      </c>
      <c r="Q206" t="s">
        <v>49</v>
      </c>
      <c r="R206">
        <v>16</v>
      </c>
      <c r="S206">
        <v>1</v>
      </c>
      <c r="T206">
        <v>0.5</v>
      </c>
      <c r="U206">
        <v>-2.94</v>
      </c>
    </row>
    <row r="207" spans="1:21" x14ac:dyDescent="0.35">
      <c r="A207">
        <v>206</v>
      </c>
      <c r="B207" t="s">
        <v>274</v>
      </c>
      <c r="C207" s="1">
        <v>45922</v>
      </c>
      <c r="D207" s="1">
        <v>45923</v>
      </c>
      <c r="E207" t="s">
        <v>50</v>
      </c>
      <c r="F207" t="s">
        <v>117</v>
      </c>
      <c r="G207" t="s">
        <v>118</v>
      </c>
      <c r="H207" t="s">
        <v>25</v>
      </c>
      <c r="I207" t="s">
        <v>26</v>
      </c>
      <c r="J207" t="s">
        <v>119</v>
      </c>
      <c r="K207" t="s">
        <v>120</v>
      </c>
      <c r="L207">
        <v>97206</v>
      </c>
      <c r="M207" t="s">
        <v>85</v>
      </c>
      <c r="N207" t="s">
        <v>97</v>
      </c>
      <c r="O207" t="s">
        <v>31</v>
      </c>
      <c r="P207" t="s">
        <v>98</v>
      </c>
      <c r="Q207" t="s">
        <v>99</v>
      </c>
      <c r="R207">
        <v>1300</v>
      </c>
      <c r="S207">
        <v>5</v>
      </c>
      <c r="T207">
        <v>0</v>
      </c>
      <c r="U207">
        <v>130.13999999999999</v>
      </c>
    </row>
    <row r="208" spans="1:21" x14ac:dyDescent="0.35">
      <c r="A208">
        <v>207</v>
      </c>
      <c r="B208" t="s">
        <v>275</v>
      </c>
      <c r="C208" s="1">
        <v>45566</v>
      </c>
      <c r="D208" s="1">
        <v>45570</v>
      </c>
      <c r="E208" t="s">
        <v>94</v>
      </c>
      <c r="F208" t="s">
        <v>129</v>
      </c>
      <c r="G208" t="s">
        <v>130</v>
      </c>
      <c r="H208" t="s">
        <v>62</v>
      </c>
      <c r="I208" t="s">
        <v>26</v>
      </c>
      <c r="J208" t="s">
        <v>131</v>
      </c>
      <c r="K208" t="s">
        <v>90</v>
      </c>
      <c r="L208">
        <v>94122</v>
      </c>
      <c r="M208" t="s">
        <v>85</v>
      </c>
      <c r="N208" t="s">
        <v>77</v>
      </c>
      <c r="O208" t="s">
        <v>31</v>
      </c>
      <c r="P208" t="s">
        <v>78</v>
      </c>
      <c r="Q208" t="s">
        <v>79</v>
      </c>
      <c r="R208">
        <v>2268</v>
      </c>
      <c r="S208">
        <v>6</v>
      </c>
      <c r="T208">
        <v>0.1</v>
      </c>
      <c r="U208">
        <v>-248.94</v>
      </c>
    </row>
    <row r="209" spans="1:21" x14ac:dyDescent="0.35">
      <c r="A209">
        <v>208</v>
      </c>
      <c r="B209" t="s">
        <v>275</v>
      </c>
      <c r="C209" s="1">
        <v>45566</v>
      </c>
      <c r="D209" s="1">
        <v>45570</v>
      </c>
      <c r="E209" t="s">
        <v>22</v>
      </c>
      <c r="F209" t="s">
        <v>129</v>
      </c>
      <c r="G209" t="s">
        <v>130</v>
      </c>
      <c r="H209" t="s">
        <v>62</v>
      </c>
      <c r="I209" t="s">
        <v>26</v>
      </c>
      <c r="J209" t="s">
        <v>131</v>
      </c>
      <c r="K209" t="s">
        <v>90</v>
      </c>
      <c r="L209">
        <v>94122</v>
      </c>
      <c r="M209" t="s">
        <v>85</v>
      </c>
      <c r="N209" t="s">
        <v>121</v>
      </c>
      <c r="O209" t="s">
        <v>47</v>
      </c>
      <c r="P209" t="s">
        <v>122</v>
      </c>
      <c r="Q209" t="s">
        <v>123</v>
      </c>
      <c r="R209">
        <v>2700</v>
      </c>
      <c r="S209">
        <v>5</v>
      </c>
      <c r="T209">
        <v>0</v>
      </c>
      <c r="U209">
        <v>514.34</v>
      </c>
    </row>
    <row r="210" spans="1:21" x14ac:dyDescent="0.35">
      <c r="A210">
        <v>209</v>
      </c>
      <c r="B210" t="s">
        <v>276</v>
      </c>
      <c r="C210" s="1">
        <v>46178</v>
      </c>
      <c r="D210" s="1">
        <v>46181</v>
      </c>
      <c r="E210" t="s">
        <v>50</v>
      </c>
      <c r="F210" t="s">
        <v>92</v>
      </c>
      <c r="G210" t="s">
        <v>93</v>
      </c>
      <c r="H210" t="s">
        <v>38</v>
      </c>
      <c r="I210" t="s">
        <v>26</v>
      </c>
      <c r="J210" t="s">
        <v>75</v>
      </c>
      <c r="K210" t="s">
        <v>76</v>
      </c>
      <c r="L210">
        <v>2110</v>
      </c>
      <c r="M210" t="s">
        <v>29</v>
      </c>
      <c r="N210" t="s">
        <v>46</v>
      </c>
      <c r="O210" t="s">
        <v>47</v>
      </c>
      <c r="P210" t="s">
        <v>48</v>
      </c>
      <c r="Q210" t="s">
        <v>49</v>
      </c>
      <c r="R210">
        <v>134.4</v>
      </c>
      <c r="S210">
        <v>6</v>
      </c>
      <c r="T210">
        <v>0.3</v>
      </c>
      <c r="U210">
        <v>6.89</v>
      </c>
    </row>
    <row r="211" spans="1:21" x14ac:dyDescent="0.35">
      <c r="A211">
        <v>210</v>
      </c>
      <c r="B211" t="s">
        <v>276</v>
      </c>
      <c r="C211" s="1">
        <v>46178</v>
      </c>
      <c r="D211" s="1">
        <v>46181</v>
      </c>
      <c r="E211" t="s">
        <v>35</v>
      </c>
      <c r="F211" t="s">
        <v>92</v>
      </c>
      <c r="G211" t="s">
        <v>93</v>
      </c>
      <c r="H211" t="s">
        <v>38</v>
      </c>
      <c r="I211" t="s">
        <v>26</v>
      </c>
      <c r="J211" t="s">
        <v>75</v>
      </c>
      <c r="K211" t="s">
        <v>76</v>
      </c>
      <c r="L211">
        <v>2110</v>
      </c>
      <c r="M211" t="s">
        <v>29</v>
      </c>
      <c r="N211" t="s">
        <v>109</v>
      </c>
      <c r="O211" t="s">
        <v>31</v>
      </c>
      <c r="P211" t="s">
        <v>110</v>
      </c>
      <c r="Q211" t="s">
        <v>111</v>
      </c>
      <c r="R211">
        <v>50</v>
      </c>
      <c r="S211">
        <v>2</v>
      </c>
      <c r="T211">
        <v>0</v>
      </c>
      <c r="U211">
        <v>15.85</v>
      </c>
    </row>
    <row r="212" spans="1:21" x14ac:dyDescent="0.35">
      <c r="A212">
        <v>211</v>
      </c>
      <c r="B212" t="s">
        <v>276</v>
      </c>
      <c r="C212" s="1">
        <v>46178</v>
      </c>
      <c r="D212" s="1">
        <v>46181</v>
      </c>
      <c r="E212" t="s">
        <v>22</v>
      </c>
      <c r="F212" t="s">
        <v>92</v>
      </c>
      <c r="G212" t="s">
        <v>93</v>
      </c>
      <c r="H212" t="s">
        <v>38</v>
      </c>
      <c r="I212" t="s">
        <v>26</v>
      </c>
      <c r="J212" t="s">
        <v>75</v>
      </c>
      <c r="K212" t="s">
        <v>76</v>
      </c>
      <c r="L212">
        <v>2110</v>
      </c>
      <c r="M212" t="s">
        <v>29</v>
      </c>
      <c r="N212" t="s">
        <v>42</v>
      </c>
      <c r="O212" t="s">
        <v>43</v>
      </c>
      <c r="P212" t="s">
        <v>44</v>
      </c>
      <c r="Q212" t="s">
        <v>45</v>
      </c>
      <c r="R212">
        <v>88.2</v>
      </c>
      <c r="S212">
        <v>7</v>
      </c>
      <c r="T212">
        <v>0.1</v>
      </c>
      <c r="U212">
        <v>29.95</v>
      </c>
    </row>
    <row r="213" spans="1:21" x14ac:dyDescent="0.35">
      <c r="A213">
        <v>212</v>
      </c>
      <c r="B213" t="s">
        <v>276</v>
      </c>
      <c r="C213" s="1">
        <v>46178</v>
      </c>
      <c r="D213" s="1">
        <v>46181</v>
      </c>
      <c r="E213" t="s">
        <v>22</v>
      </c>
      <c r="F213" t="s">
        <v>92</v>
      </c>
      <c r="G213" t="s">
        <v>93</v>
      </c>
      <c r="H213" t="s">
        <v>38</v>
      </c>
      <c r="I213" t="s">
        <v>26</v>
      </c>
      <c r="J213" t="s">
        <v>75</v>
      </c>
      <c r="K213" t="s">
        <v>76</v>
      </c>
      <c r="L213">
        <v>2110</v>
      </c>
      <c r="M213" t="s">
        <v>29</v>
      </c>
      <c r="N213" t="s">
        <v>121</v>
      </c>
      <c r="O213" t="s">
        <v>47</v>
      </c>
      <c r="P213" t="s">
        <v>122</v>
      </c>
      <c r="Q213" t="s">
        <v>123</v>
      </c>
      <c r="R213">
        <v>3240</v>
      </c>
      <c r="S213">
        <v>6</v>
      </c>
      <c r="T213">
        <v>0</v>
      </c>
      <c r="U213">
        <v>616.02</v>
      </c>
    </row>
    <row r="214" spans="1:21" x14ac:dyDescent="0.35">
      <c r="A214">
        <v>213</v>
      </c>
      <c r="B214" t="s">
        <v>277</v>
      </c>
      <c r="C214" s="1">
        <v>45903</v>
      </c>
      <c r="D214" s="1">
        <v>45906</v>
      </c>
      <c r="E214" t="s">
        <v>22</v>
      </c>
      <c r="F214" t="s">
        <v>213</v>
      </c>
      <c r="G214" t="s">
        <v>214</v>
      </c>
      <c r="H214" t="s">
        <v>25</v>
      </c>
      <c r="I214" t="s">
        <v>26</v>
      </c>
      <c r="J214" t="s">
        <v>75</v>
      </c>
      <c r="K214" t="s">
        <v>76</v>
      </c>
      <c r="L214">
        <v>2110</v>
      </c>
      <c r="M214" t="s">
        <v>29</v>
      </c>
      <c r="N214" t="s">
        <v>103</v>
      </c>
      <c r="O214" t="s">
        <v>47</v>
      </c>
      <c r="P214" t="s">
        <v>104</v>
      </c>
      <c r="Q214" t="s">
        <v>105</v>
      </c>
      <c r="R214">
        <v>3560</v>
      </c>
      <c r="S214">
        <v>4</v>
      </c>
      <c r="T214">
        <v>0</v>
      </c>
      <c r="U214">
        <v>710.23</v>
      </c>
    </row>
    <row r="215" spans="1:21" x14ac:dyDescent="0.35">
      <c r="A215">
        <v>214</v>
      </c>
      <c r="B215" t="s">
        <v>277</v>
      </c>
      <c r="C215" s="1">
        <v>45903</v>
      </c>
      <c r="D215" s="1">
        <v>45906</v>
      </c>
      <c r="E215" t="s">
        <v>35</v>
      </c>
      <c r="F215" t="s">
        <v>213</v>
      </c>
      <c r="G215" t="s">
        <v>214</v>
      </c>
      <c r="H215" t="s">
        <v>25</v>
      </c>
      <c r="I215" t="s">
        <v>26</v>
      </c>
      <c r="J215" t="s">
        <v>75</v>
      </c>
      <c r="K215" t="s">
        <v>76</v>
      </c>
      <c r="L215">
        <v>2110</v>
      </c>
      <c r="M215" t="s">
        <v>29</v>
      </c>
      <c r="N215" t="s">
        <v>125</v>
      </c>
      <c r="O215" t="s">
        <v>43</v>
      </c>
      <c r="P215" t="s">
        <v>126</v>
      </c>
      <c r="Q215" t="s">
        <v>127</v>
      </c>
      <c r="R215">
        <v>540</v>
      </c>
      <c r="S215">
        <v>5</v>
      </c>
      <c r="T215">
        <v>0.1</v>
      </c>
      <c r="U215">
        <v>64.66</v>
      </c>
    </row>
    <row r="216" spans="1:21" x14ac:dyDescent="0.35">
      <c r="A216">
        <v>215</v>
      </c>
      <c r="B216" t="s">
        <v>278</v>
      </c>
      <c r="C216" s="1">
        <v>45566</v>
      </c>
      <c r="D216" s="1">
        <v>45567</v>
      </c>
      <c r="E216" t="s">
        <v>22</v>
      </c>
      <c r="F216" t="s">
        <v>279</v>
      </c>
      <c r="G216" t="s">
        <v>280</v>
      </c>
      <c r="H216" t="s">
        <v>38</v>
      </c>
      <c r="I216" t="s">
        <v>26</v>
      </c>
      <c r="J216" t="s">
        <v>57</v>
      </c>
      <c r="K216" t="s">
        <v>58</v>
      </c>
      <c r="L216">
        <v>10009</v>
      </c>
      <c r="M216" t="s">
        <v>29</v>
      </c>
      <c r="N216" t="s">
        <v>103</v>
      </c>
      <c r="O216" t="s">
        <v>47</v>
      </c>
      <c r="P216" t="s">
        <v>104</v>
      </c>
      <c r="Q216" t="s">
        <v>105</v>
      </c>
      <c r="R216">
        <v>6230</v>
      </c>
      <c r="S216">
        <v>7</v>
      </c>
      <c r="T216">
        <v>0</v>
      </c>
      <c r="U216">
        <v>1245.81</v>
      </c>
    </row>
    <row r="217" spans="1:21" x14ac:dyDescent="0.35">
      <c r="A217">
        <v>216</v>
      </c>
      <c r="B217" t="s">
        <v>278</v>
      </c>
      <c r="C217" s="1">
        <v>45566</v>
      </c>
      <c r="D217" s="1">
        <v>45567</v>
      </c>
      <c r="E217" t="s">
        <v>94</v>
      </c>
      <c r="F217" t="s">
        <v>279</v>
      </c>
      <c r="G217" t="s">
        <v>280</v>
      </c>
      <c r="H217" t="s">
        <v>38</v>
      </c>
      <c r="I217" t="s">
        <v>26</v>
      </c>
      <c r="J217" t="s">
        <v>57</v>
      </c>
      <c r="K217" t="s">
        <v>58</v>
      </c>
      <c r="L217">
        <v>10009</v>
      </c>
      <c r="M217" t="s">
        <v>29</v>
      </c>
      <c r="N217" t="s">
        <v>69</v>
      </c>
      <c r="O217" t="s">
        <v>43</v>
      </c>
      <c r="P217" t="s">
        <v>70</v>
      </c>
      <c r="Q217" t="s">
        <v>71</v>
      </c>
      <c r="R217">
        <v>22.5</v>
      </c>
      <c r="S217">
        <v>1</v>
      </c>
      <c r="T217">
        <v>0.5</v>
      </c>
      <c r="U217">
        <v>-4.29</v>
      </c>
    </row>
    <row r="218" spans="1:21" x14ac:dyDescent="0.35">
      <c r="A218">
        <v>217</v>
      </c>
      <c r="B218" t="s">
        <v>278</v>
      </c>
      <c r="C218" s="1">
        <v>45566</v>
      </c>
      <c r="D218" s="1">
        <v>45567</v>
      </c>
      <c r="E218" t="s">
        <v>22</v>
      </c>
      <c r="F218" t="s">
        <v>279</v>
      </c>
      <c r="G218" t="s">
        <v>280</v>
      </c>
      <c r="H218" t="s">
        <v>38</v>
      </c>
      <c r="I218" t="s">
        <v>26</v>
      </c>
      <c r="J218" t="s">
        <v>57</v>
      </c>
      <c r="K218" t="s">
        <v>58</v>
      </c>
      <c r="L218">
        <v>10009</v>
      </c>
      <c r="M218" t="s">
        <v>29</v>
      </c>
      <c r="N218" t="s">
        <v>95</v>
      </c>
      <c r="O218" t="s">
        <v>47</v>
      </c>
      <c r="P218" t="s">
        <v>48</v>
      </c>
      <c r="Q218" t="s">
        <v>96</v>
      </c>
      <c r="R218">
        <v>132</v>
      </c>
      <c r="S218">
        <v>6</v>
      </c>
      <c r="T218">
        <v>0</v>
      </c>
      <c r="U218">
        <v>38.090000000000003</v>
      </c>
    </row>
    <row r="219" spans="1:21" x14ac:dyDescent="0.35">
      <c r="A219">
        <v>218</v>
      </c>
      <c r="B219" t="s">
        <v>281</v>
      </c>
      <c r="C219" s="1">
        <v>45643</v>
      </c>
      <c r="D219" s="1">
        <v>45649</v>
      </c>
      <c r="E219" t="s">
        <v>35</v>
      </c>
      <c r="F219" t="s">
        <v>200</v>
      </c>
      <c r="G219" t="s">
        <v>201</v>
      </c>
      <c r="H219" t="s">
        <v>62</v>
      </c>
      <c r="I219" t="s">
        <v>26</v>
      </c>
      <c r="J219" t="s">
        <v>75</v>
      </c>
      <c r="K219" t="s">
        <v>76</v>
      </c>
      <c r="L219">
        <v>2110</v>
      </c>
      <c r="M219" t="s">
        <v>29</v>
      </c>
      <c r="N219" t="s">
        <v>106</v>
      </c>
      <c r="O219" t="s">
        <v>43</v>
      </c>
      <c r="P219" t="s">
        <v>107</v>
      </c>
      <c r="Q219" t="s">
        <v>108</v>
      </c>
      <c r="R219">
        <v>9</v>
      </c>
      <c r="S219">
        <v>1</v>
      </c>
      <c r="T219">
        <v>0</v>
      </c>
      <c r="U219">
        <v>3.96</v>
      </c>
    </row>
    <row r="220" spans="1:21" x14ac:dyDescent="0.35">
      <c r="A220">
        <v>219</v>
      </c>
      <c r="B220" t="s">
        <v>282</v>
      </c>
      <c r="C220" s="1">
        <v>45926</v>
      </c>
      <c r="D220" s="1">
        <v>45928</v>
      </c>
      <c r="E220" t="s">
        <v>22</v>
      </c>
      <c r="F220" t="s">
        <v>283</v>
      </c>
      <c r="G220" t="s">
        <v>204</v>
      </c>
      <c r="H220" t="s">
        <v>62</v>
      </c>
      <c r="I220" t="s">
        <v>26</v>
      </c>
      <c r="J220" t="s">
        <v>135</v>
      </c>
      <c r="K220" t="s">
        <v>136</v>
      </c>
      <c r="L220">
        <v>19140</v>
      </c>
      <c r="M220" t="s">
        <v>29</v>
      </c>
      <c r="N220" t="s">
        <v>77</v>
      </c>
      <c r="O220" t="s">
        <v>31</v>
      </c>
      <c r="P220" t="s">
        <v>78</v>
      </c>
      <c r="Q220" t="s">
        <v>79</v>
      </c>
      <c r="R220">
        <v>1134</v>
      </c>
      <c r="S220">
        <v>3</v>
      </c>
      <c r="T220">
        <v>0.1</v>
      </c>
      <c r="U220">
        <v>-125.98</v>
      </c>
    </row>
    <row r="221" spans="1:21" x14ac:dyDescent="0.35">
      <c r="A221">
        <v>220</v>
      </c>
      <c r="B221" t="s">
        <v>282</v>
      </c>
      <c r="C221" s="1">
        <v>45926</v>
      </c>
      <c r="D221" s="1">
        <v>45928</v>
      </c>
      <c r="E221" t="s">
        <v>22</v>
      </c>
      <c r="F221" t="s">
        <v>283</v>
      </c>
      <c r="G221" t="s">
        <v>204</v>
      </c>
      <c r="H221" t="s">
        <v>62</v>
      </c>
      <c r="I221" t="s">
        <v>26</v>
      </c>
      <c r="J221" t="s">
        <v>135</v>
      </c>
      <c r="K221" t="s">
        <v>136</v>
      </c>
      <c r="L221">
        <v>19140</v>
      </c>
      <c r="M221" t="s">
        <v>29</v>
      </c>
      <c r="N221" t="s">
        <v>113</v>
      </c>
      <c r="O221" t="s">
        <v>43</v>
      </c>
      <c r="P221" t="s">
        <v>114</v>
      </c>
      <c r="Q221" t="s">
        <v>115</v>
      </c>
      <c r="R221">
        <v>23.1</v>
      </c>
      <c r="S221">
        <v>3</v>
      </c>
      <c r="T221">
        <v>0.3</v>
      </c>
      <c r="U221">
        <v>4.5</v>
      </c>
    </row>
    <row r="222" spans="1:21" x14ac:dyDescent="0.35">
      <c r="A222">
        <v>221</v>
      </c>
      <c r="B222" t="s">
        <v>282</v>
      </c>
      <c r="C222" s="1">
        <v>45926</v>
      </c>
      <c r="D222" s="1">
        <v>45928</v>
      </c>
      <c r="E222" t="s">
        <v>35</v>
      </c>
      <c r="F222" t="s">
        <v>283</v>
      </c>
      <c r="G222" t="s">
        <v>204</v>
      </c>
      <c r="H222" t="s">
        <v>62</v>
      </c>
      <c r="I222" t="s">
        <v>26</v>
      </c>
      <c r="J222" t="s">
        <v>135</v>
      </c>
      <c r="K222" t="s">
        <v>136</v>
      </c>
      <c r="L222">
        <v>19140</v>
      </c>
      <c r="M222" t="s">
        <v>29</v>
      </c>
      <c r="N222" t="s">
        <v>97</v>
      </c>
      <c r="O222" t="s">
        <v>31</v>
      </c>
      <c r="P222" t="s">
        <v>98</v>
      </c>
      <c r="Q222" t="s">
        <v>99</v>
      </c>
      <c r="R222">
        <v>260</v>
      </c>
      <c r="S222">
        <v>1</v>
      </c>
      <c r="T222">
        <v>0</v>
      </c>
      <c r="U222">
        <v>25.09</v>
      </c>
    </row>
    <row r="223" spans="1:21" x14ac:dyDescent="0.35">
      <c r="A223">
        <v>222</v>
      </c>
      <c r="B223" t="s">
        <v>284</v>
      </c>
      <c r="C223" s="1">
        <v>45623</v>
      </c>
      <c r="D223" s="1">
        <v>45626</v>
      </c>
      <c r="E223" t="s">
        <v>22</v>
      </c>
      <c r="F223" t="s">
        <v>285</v>
      </c>
      <c r="G223" t="s">
        <v>286</v>
      </c>
      <c r="H223" t="s">
        <v>62</v>
      </c>
      <c r="I223" t="s">
        <v>26</v>
      </c>
      <c r="J223" t="s">
        <v>150</v>
      </c>
      <c r="K223" t="s">
        <v>151</v>
      </c>
      <c r="L223">
        <v>33311</v>
      </c>
      <c r="M223" t="s">
        <v>65</v>
      </c>
      <c r="N223" t="s">
        <v>42</v>
      </c>
      <c r="O223" t="s">
        <v>43</v>
      </c>
      <c r="P223" t="s">
        <v>44</v>
      </c>
      <c r="Q223" t="s">
        <v>45</v>
      </c>
      <c r="R223">
        <v>56</v>
      </c>
      <c r="S223">
        <v>5</v>
      </c>
      <c r="T223">
        <v>0.2</v>
      </c>
      <c r="U223">
        <v>14.92</v>
      </c>
    </row>
    <row r="224" spans="1:21" x14ac:dyDescent="0.35">
      <c r="A224">
        <v>223</v>
      </c>
      <c r="B224" t="s">
        <v>284</v>
      </c>
      <c r="C224" s="1">
        <v>45623</v>
      </c>
      <c r="D224" s="1">
        <v>45626</v>
      </c>
      <c r="E224" t="s">
        <v>35</v>
      </c>
      <c r="F224" t="s">
        <v>285</v>
      </c>
      <c r="G224" t="s">
        <v>286</v>
      </c>
      <c r="H224" t="s">
        <v>62</v>
      </c>
      <c r="I224" t="s">
        <v>26</v>
      </c>
      <c r="J224" t="s">
        <v>150</v>
      </c>
      <c r="K224" t="s">
        <v>151</v>
      </c>
      <c r="L224">
        <v>33311</v>
      </c>
      <c r="M224" t="s">
        <v>65</v>
      </c>
      <c r="N224" t="s">
        <v>51</v>
      </c>
      <c r="O224" t="s">
        <v>43</v>
      </c>
      <c r="P224" t="s">
        <v>52</v>
      </c>
      <c r="Q224" t="s">
        <v>53</v>
      </c>
      <c r="R224">
        <v>48</v>
      </c>
      <c r="S224">
        <v>6</v>
      </c>
      <c r="T224">
        <v>0</v>
      </c>
      <c r="U224">
        <v>13.37</v>
      </c>
    </row>
    <row r="225" spans="1:21" x14ac:dyDescent="0.35">
      <c r="A225">
        <v>224</v>
      </c>
      <c r="B225" t="s">
        <v>284</v>
      </c>
      <c r="C225" s="1">
        <v>45623</v>
      </c>
      <c r="D225" s="1">
        <v>45626</v>
      </c>
      <c r="E225" t="s">
        <v>22</v>
      </c>
      <c r="F225" t="s">
        <v>285</v>
      </c>
      <c r="G225" t="s">
        <v>286</v>
      </c>
      <c r="H225" t="s">
        <v>62</v>
      </c>
      <c r="I225" t="s">
        <v>26</v>
      </c>
      <c r="J225" t="s">
        <v>150</v>
      </c>
      <c r="K225" t="s">
        <v>151</v>
      </c>
      <c r="L225">
        <v>33311</v>
      </c>
      <c r="M225" t="s">
        <v>65</v>
      </c>
      <c r="N225" t="s">
        <v>97</v>
      </c>
      <c r="O225" t="s">
        <v>31</v>
      </c>
      <c r="P225" t="s">
        <v>98</v>
      </c>
      <c r="Q225" t="s">
        <v>99</v>
      </c>
      <c r="R225">
        <v>208</v>
      </c>
      <c r="S225">
        <v>1</v>
      </c>
      <c r="T225">
        <v>0.2</v>
      </c>
      <c r="U225">
        <v>-3.93</v>
      </c>
    </row>
    <row r="226" spans="1:21" x14ac:dyDescent="0.35">
      <c r="A226">
        <v>225</v>
      </c>
      <c r="B226" t="s">
        <v>284</v>
      </c>
      <c r="C226" s="1">
        <v>45623</v>
      </c>
      <c r="D226" s="1">
        <v>45626</v>
      </c>
      <c r="E226" t="s">
        <v>22</v>
      </c>
      <c r="F226" t="s">
        <v>285</v>
      </c>
      <c r="G226" t="s">
        <v>286</v>
      </c>
      <c r="H226" t="s">
        <v>62</v>
      </c>
      <c r="I226" t="s">
        <v>26</v>
      </c>
      <c r="J226" t="s">
        <v>150</v>
      </c>
      <c r="K226" t="s">
        <v>151</v>
      </c>
      <c r="L226">
        <v>33311</v>
      </c>
      <c r="M226" t="s">
        <v>65</v>
      </c>
      <c r="N226" t="s">
        <v>66</v>
      </c>
      <c r="O226" t="s">
        <v>47</v>
      </c>
      <c r="P226" t="s">
        <v>67</v>
      </c>
      <c r="Q226" t="s">
        <v>68</v>
      </c>
      <c r="R226">
        <v>1650</v>
      </c>
      <c r="S226">
        <v>5</v>
      </c>
      <c r="T226">
        <v>0</v>
      </c>
      <c r="U226">
        <v>279.87</v>
      </c>
    </row>
    <row r="227" spans="1:21" x14ac:dyDescent="0.35">
      <c r="A227">
        <v>226</v>
      </c>
      <c r="B227" t="s">
        <v>287</v>
      </c>
      <c r="C227" s="1">
        <v>46131</v>
      </c>
      <c r="D227" s="1">
        <v>46134</v>
      </c>
      <c r="E227" t="s">
        <v>22</v>
      </c>
      <c r="F227" t="s">
        <v>182</v>
      </c>
      <c r="G227" t="s">
        <v>183</v>
      </c>
      <c r="H227" t="s">
        <v>25</v>
      </c>
      <c r="I227" t="s">
        <v>26</v>
      </c>
      <c r="J227" t="s">
        <v>162</v>
      </c>
      <c r="K227" t="s">
        <v>163</v>
      </c>
      <c r="L227">
        <v>28205</v>
      </c>
      <c r="M227" t="s">
        <v>65</v>
      </c>
      <c r="N227" t="s">
        <v>97</v>
      </c>
      <c r="O227" t="s">
        <v>31</v>
      </c>
      <c r="P227" t="s">
        <v>98</v>
      </c>
      <c r="Q227" t="s">
        <v>99</v>
      </c>
      <c r="R227">
        <v>1820</v>
      </c>
      <c r="S227">
        <v>7</v>
      </c>
      <c r="T227">
        <v>0</v>
      </c>
      <c r="U227">
        <v>181.8</v>
      </c>
    </row>
    <row r="228" spans="1:21" x14ac:dyDescent="0.35">
      <c r="A228">
        <v>227</v>
      </c>
      <c r="B228" t="s">
        <v>288</v>
      </c>
      <c r="C228" s="1">
        <v>45486</v>
      </c>
      <c r="D228" s="1">
        <v>45488</v>
      </c>
      <c r="E228" t="s">
        <v>35</v>
      </c>
      <c r="F228" t="s">
        <v>289</v>
      </c>
      <c r="G228" t="s">
        <v>290</v>
      </c>
      <c r="H228" t="s">
        <v>62</v>
      </c>
      <c r="I228" t="s">
        <v>26</v>
      </c>
      <c r="J228" t="s">
        <v>57</v>
      </c>
      <c r="K228" t="s">
        <v>58</v>
      </c>
      <c r="L228">
        <v>10009</v>
      </c>
      <c r="M228" t="s">
        <v>29</v>
      </c>
      <c r="N228" t="s">
        <v>51</v>
      </c>
      <c r="O228" t="s">
        <v>43</v>
      </c>
      <c r="P228" t="s">
        <v>52</v>
      </c>
      <c r="Q228" t="s">
        <v>53</v>
      </c>
      <c r="R228">
        <v>28</v>
      </c>
      <c r="S228">
        <v>5</v>
      </c>
      <c r="T228">
        <v>0.3</v>
      </c>
      <c r="U228">
        <v>1.71</v>
      </c>
    </row>
    <row r="229" spans="1:21" x14ac:dyDescent="0.35">
      <c r="A229">
        <v>228</v>
      </c>
      <c r="B229" t="s">
        <v>288</v>
      </c>
      <c r="C229" s="1">
        <v>45486</v>
      </c>
      <c r="D229" s="1">
        <v>45488</v>
      </c>
      <c r="E229" t="s">
        <v>22</v>
      </c>
      <c r="F229" t="s">
        <v>289</v>
      </c>
      <c r="G229" t="s">
        <v>290</v>
      </c>
      <c r="H229" t="s">
        <v>62</v>
      </c>
      <c r="I229" t="s">
        <v>26</v>
      </c>
      <c r="J229" t="s">
        <v>57</v>
      </c>
      <c r="K229" t="s">
        <v>58</v>
      </c>
      <c r="L229">
        <v>10009</v>
      </c>
      <c r="M229" t="s">
        <v>29</v>
      </c>
      <c r="N229" t="s">
        <v>77</v>
      </c>
      <c r="O229" t="s">
        <v>31</v>
      </c>
      <c r="P229" t="s">
        <v>78</v>
      </c>
      <c r="Q229" t="s">
        <v>79</v>
      </c>
      <c r="R229">
        <v>420</v>
      </c>
      <c r="S229">
        <v>1</v>
      </c>
      <c r="T229">
        <v>0</v>
      </c>
      <c r="U229">
        <v>-19.329999999999998</v>
      </c>
    </row>
    <row r="230" spans="1:21" x14ac:dyDescent="0.35">
      <c r="A230">
        <v>229</v>
      </c>
      <c r="B230" t="s">
        <v>291</v>
      </c>
      <c r="C230" s="1">
        <v>45494</v>
      </c>
      <c r="D230" s="1">
        <v>45497</v>
      </c>
      <c r="E230" t="s">
        <v>35</v>
      </c>
      <c r="F230" t="s">
        <v>133</v>
      </c>
      <c r="G230" t="s">
        <v>134</v>
      </c>
      <c r="H230" t="s">
        <v>62</v>
      </c>
      <c r="I230" t="s">
        <v>26</v>
      </c>
      <c r="J230" t="s">
        <v>135</v>
      </c>
      <c r="K230" t="s">
        <v>136</v>
      </c>
      <c r="L230">
        <v>19140</v>
      </c>
      <c r="M230" t="s">
        <v>29</v>
      </c>
      <c r="N230" t="s">
        <v>51</v>
      </c>
      <c r="O230" t="s">
        <v>43</v>
      </c>
      <c r="P230" t="s">
        <v>52</v>
      </c>
      <c r="Q230" t="s">
        <v>53</v>
      </c>
      <c r="R230">
        <v>12.8</v>
      </c>
      <c r="S230">
        <v>2</v>
      </c>
      <c r="T230">
        <v>0.2</v>
      </c>
      <c r="U230">
        <v>1.31</v>
      </c>
    </row>
    <row r="231" spans="1:21" x14ac:dyDescent="0.35">
      <c r="A231">
        <v>230</v>
      </c>
      <c r="B231" t="s">
        <v>291</v>
      </c>
      <c r="C231" s="1">
        <v>45494</v>
      </c>
      <c r="D231" s="1">
        <v>45497</v>
      </c>
      <c r="E231" t="s">
        <v>35</v>
      </c>
      <c r="F231" t="s">
        <v>133</v>
      </c>
      <c r="G231" t="s">
        <v>134</v>
      </c>
      <c r="H231" t="s">
        <v>62</v>
      </c>
      <c r="I231" t="s">
        <v>26</v>
      </c>
      <c r="J231" t="s">
        <v>135</v>
      </c>
      <c r="K231" t="s">
        <v>136</v>
      </c>
      <c r="L231">
        <v>19140</v>
      </c>
      <c r="M231" t="s">
        <v>29</v>
      </c>
      <c r="N231" t="s">
        <v>30</v>
      </c>
      <c r="O231" t="s">
        <v>31</v>
      </c>
      <c r="P231" t="s">
        <v>32</v>
      </c>
      <c r="Q231" t="s">
        <v>33</v>
      </c>
      <c r="R231">
        <v>1610</v>
      </c>
      <c r="S231">
        <v>7</v>
      </c>
      <c r="T231">
        <v>0</v>
      </c>
      <c r="U231">
        <v>193.51</v>
      </c>
    </row>
    <row r="232" spans="1:21" x14ac:dyDescent="0.35">
      <c r="A232">
        <v>231</v>
      </c>
      <c r="B232" t="s">
        <v>291</v>
      </c>
      <c r="C232" s="1">
        <v>45494</v>
      </c>
      <c r="D232" s="1">
        <v>45497</v>
      </c>
      <c r="E232" t="s">
        <v>22</v>
      </c>
      <c r="F232" t="s">
        <v>133</v>
      </c>
      <c r="G232" t="s">
        <v>134</v>
      </c>
      <c r="H232" t="s">
        <v>62</v>
      </c>
      <c r="I232" t="s">
        <v>26</v>
      </c>
      <c r="J232" t="s">
        <v>135</v>
      </c>
      <c r="K232" t="s">
        <v>136</v>
      </c>
      <c r="L232">
        <v>19140</v>
      </c>
      <c r="M232" t="s">
        <v>29</v>
      </c>
      <c r="N232" t="s">
        <v>77</v>
      </c>
      <c r="O232" t="s">
        <v>31</v>
      </c>
      <c r="P232" t="s">
        <v>78</v>
      </c>
      <c r="Q232" t="s">
        <v>79</v>
      </c>
      <c r="R232">
        <v>2940</v>
      </c>
      <c r="S232">
        <v>7</v>
      </c>
      <c r="T232">
        <v>0</v>
      </c>
      <c r="U232">
        <v>-148.41999999999999</v>
      </c>
    </row>
    <row r="233" spans="1:21" x14ac:dyDescent="0.35">
      <c r="A233">
        <v>232</v>
      </c>
      <c r="B233" t="s">
        <v>291</v>
      </c>
      <c r="C233" s="1">
        <v>45494</v>
      </c>
      <c r="D233" s="1">
        <v>45497</v>
      </c>
      <c r="E233" t="s">
        <v>35</v>
      </c>
      <c r="F233" t="s">
        <v>133</v>
      </c>
      <c r="G233" t="s">
        <v>134</v>
      </c>
      <c r="H233" t="s">
        <v>62</v>
      </c>
      <c r="I233" t="s">
        <v>26</v>
      </c>
      <c r="J233" t="s">
        <v>135</v>
      </c>
      <c r="K233" t="s">
        <v>136</v>
      </c>
      <c r="L233">
        <v>19140</v>
      </c>
      <c r="M233" t="s">
        <v>29</v>
      </c>
      <c r="N233" t="s">
        <v>46</v>
      </c>
      <c r="O233" t="s">
        <v>47</v>
      </c>
      <c r="P233" t="s">
        <v>48</v>
      </c>
      <c r="Q233" t="s">
        <v>49</v>
      </c>
      <c r="R233">
        <v>96</v>
      </c>
      <c r="S233">
        <v>3</v>
      </c>
      <c r="T233">
        <v>0</v>
      </c>
      <c r="U233">
        <v>21.49</v>
      </c>
    </row>
    <row r="234" spans="1:21" x14ac:dyDescent="0.35">
      <c r="A234">
        <v>233</v>
      </c>
      <c r="B234" t="s">
        <v>292</v>
      </c>
      <c r="C234" s="1">
        <v>45954</v>
      </c>
      <c r="D234" s="1">
        <v>45956</v>
      </c>
      <c r="E234" t="s">
        <v>94</v>
      </c>
      <c r="F234" t="s">
        <v>117</v>
      </c>
      <c r="G234" t="s">
        <v>118</v>
      </c>
      <c r="H234" t="s">
        <v>25</v>
      </c>
      <c r="I234" t="s">
        <v>26</v>
      </c>
      <c r="J234" t="s">
        <v>119</v>
      </c>
      <c r="K234" t="s">
        <v>120</v>
      </c>
      <c r="L234">
        <v>97206</v>
      </c>
      <c r="M234" t="s">
        <v>85</v>
      </c>
      <c r="N234" t="s">
        <v>51</v>
      </c>
      <c r="O234" t="s">
        <v>43</v>
      </c>
      <c r="P234" t="s">
        <v>52</v>
      </c>
      <c r="Q234" t="s">
        <v>53</v>
      </c>
      <c r="R234">
        <v>36</v>
      </c>
      <c r="S234">
        <v>5</v>
      </c>
      <c r="T234">
        <v>0.1</v>
      </c>
      <c r="U234">
        <v>5</v>
      </c>
    </row>
    <row r="235" spans="1:21" x14ac:dyDescent="0.35">
      <c r="A235">
        <v>234</v>
      </c>
      <c r="B235" t="s">
        <v>293</v>
      </c>
      <c r="C235" s="1">
        <v>46137</v>
      </c>
      <c r="D235" s="1">
        <v>46143</v>
      </c>
      <c r="E235" t="s">
        <v>22</v>
      </c>
      <c r="F235" t="s">
        <v>60</v>
      </c>
      <c r="G235" t="s">
        <v>61</v>
      </c>
      <c r="H235" t="s">
        <v>62</v>
      </c>
      <c r="I235" t="s">
        <v>26</v>
      </c>
      <c r="J235" t="s">
        <v>63</v>
      </c>
      <c r="K235" t="s">
        <v>64</v>
      </c>
      <c r="L235">
        <v>37211</v>
      </c>
      <c r="M235" t="s">
        <v>65</v>
      </c>
      <c r="N235" t="s">
        <v>106</v>
      </c>
      <c r="O235" t="s">
        <v>43</v>
      </c>
      <c r="P235" t="s">
        <v>107</v>
      </c>
      <c r="Q235" t="s">
        <v>108</v>
      </c>
      <c r="R235">
        <v>18</v>
      </c>
      <c r="S235">
        <v>4</v>
      </c>
      <c r="T235">
        <v>0.5</v>
      </c>
      <c r="U235">
        <v>-1.3</v>
      </c>
    </row>
    <row r="236" spans="1:21" x14ac:dyDescent="0.35">
      <c r="A236">
        <v>235</v>
      </c>
      <c r="B236" t="s">
        <v>293</v>
      </c>
      <c r="C236" s="1">
        <v>46137</v>
      </c>
      <c r="D236" s="1">
        <v>46143</v>
      </c>
      <c r="E236" t="s">
        <v>50</v>
      </c>
      <c r="F236" t="s">
        <v>60</v>
      </c>
      <c r="G236" t="s">
        <v>61</v>
      </c>
      <c r="H236" t="s">
        <v>62</v>
      </c>
      <c r="I236" t="s">
        <v>26</v>
      </c>
      <c r="J236" t="s">
        <v>63</v>
      </c>
      <c r="K236" t="s">
        <v>64</v>
      </c>
      <c r="L236">
        <v>37211</v>
      </c>
      <c r="M236" t="s">
        <v>65</v>
      </c>
      <c r="N236" t="s">
        <v>121</v>
      </c>
      <c r="O236" t="s">
        <v>47</v>
      </c>
      <c r="P236" t="s">
        <v>122</v>
      </c>
      <c r="Q236" t="s">
        <v>123</v>
      </c>
      <c r="R236">
        <v>1620</v>
      </c>
      <c r="S236">
        <v>3</v>
      </c>
      <c r="T236">
        <v>0</v>
      </c>
      <c r="U236">
        <v>306.98</v>
      </c>
    </row>
    <row r="237" spans="1:21" x14ac:dyDescent="0.35">
      <c r="A237">
        <v>236</v>
      </c>
      <c r="B237" t="s">
        <v>293</v>
      </c>
      <c r="C237" s="1">
        <v>46137</v>
      </c>
      <c r="D237" s="1">
        <v>46143</v>
      </c>
      <c r="E237" t="s">
        <v>35</v>
      </c>
      <c r="F237" t="s">
        <v>60</v>
      </c>
      <c r="G237" t="s">
        <v>61</v>
      </c>
      <c r="H237" t="s">
        <v>62</v>
      </c>
      <c r="I237" t="s">
        <v>26</v>
      </c>
      <c r="J237" t="s">
        <v>63</v>
      </c>
      <c r="K237" t="s">
        <v>64</v>
      </c>
      <c r="L237">
        <v>37211</v>
      </c>
      <c r="M237" t="s">
        <v>65</v>
      </c>
      <c r="N237" t="s">
        <v>97</v>
      </c>
      <c r="O237" t="s">
        <v>31</v>
      </c>
      <c r="P237" t="s">
        <v>98</v>
      </c>
      <c r="Q237" t="s">
        <v>99</v>
      </c>
      <c r="R237">
        <v>910</v>
      </c>
      <c r="S237">
        <v>7</v>
      </c>
      <c r="T237">
        <v>0.5</v>
      </c>
      <c r="U237">
        <v>-180.24</v>
      </c>
    </row>
    <row r="238" spans="1:21" x14ac:dyDescent="0.35">
      <c r="A238">
        <v>237</v>
      </c>
      <c r="B238" t="s">
        <v>294</v>
      </c>
      <c r="C238" s="1">
        <v>45464</v>
      </c>
      <c r="D238" s="1">
        <v>45470</v>
      </c>
      <c r="E238" t="s">
        <v>35</v>
      </c>
      <c r="F238" t="s">
        <v>133</v>
      </c>
      <c r="G238" t="s">
        <v>134</v>
      </c>
      <c r="H238" t="s">
        <v>62</v>
      </c>
      <c r="I238" t="s">
        <v>26</v>
      </c>
      <c r="J238" t="s">
        <v>135</v>
      </c>
      <c r="K238" t="s">
        <v>136</v>
      </c>
      <c r="L238">
        <v>19140</v>
      </c>
      <c r="M238" t="s">
        <v>29</v>
      </c>
      <c r="N238" t="s">
        <v>97</v>
      </c>
      <c r="O238" t="s">
        <v>31</v>
      </c>
      <c r="P238" t="s">
        <v>98</v>
      </c>
      <c r="Q238" t="s">
        <v>99</v>
      </c>
      <c r="R238">
        <v>1560</v>
      </c>
      <c r="S238">
        <v>6</v>
      </c>
      <c r="T238">
        <v>0</v>
      </c>
      <c r="U238">
        <v>156.30000000000001</v>
      </c>
    </row>
    <row r="239" spans="1:21" x14ac:dyDescent="0.35">
      <c r="A239">
        <v>238</v>
      </c>
      <c r="B239" t="s">
        <v>294</v>
      </c>
      <c r="C239" s="1">
        <v>45464</v>
      </c>
      <c r="D239" s="1">
        <v>45470</v>
      </c>
      <c r="E239" t="s">
        <v>94</v>
      </c>
      <c r="F239" t="s">
        <v>133</v>
      </c>
      <c r="G239" t="s">
        <v>134</v>
      </c>
      <c r="H239" t="s">
        <v>62</v>
      </c>
      <c r="I239" t="s">
        <v>26</v>
      </c>
      <c r="J239" t="s">
        <v>135</v>
      </c>
      <c r="K239" t="s">
        <v>136</v>
      </c>
      <c r="L239">
        <v>19140</v>
      </c>
      <c r="M239" t="s">
        <v>29</v>
      </c>
      <c r="N239" t="s">
        <v>30</v>
      </c>
      <c r="O239" t="s">
        <v>31</v>
      </c>
      <c r="P239" t="s">
        <v>32</v>
      </c>
      <c r="Q239" t="s">
        <v>33</v>
      </c>
      <c r="R239">
        <v>322</v>
      </c>
      <c r="S239">
        <v>2</v>
      </c>
      <c r="T239">
        <v>0.3</v>
      </c>
      <c r="U239">
        <v>-17.61</v>
      </c>
    </row>
    <row r="240" spans="1:21" x14ac:dyDescent="0.35">
      <c r="A240">
        <v>239</v>
      </c>
      <c r="B240" t="s">
        <v>294</v>
      </c>
      <c r="C240" s="1">
        <v>45464</v>
      </c>
      <c r="D240" s="1">
        <v>45470</v>
      </c>
      <c r="E240" t="s">
        <v>35</v>
      </c>
      <c r="F240" t="s">
        <v>133</v>
      </c>
      <c r="G240" t="s">
        <v>134</v>
      </c>
      <c r="H240" t="s">
        <v>62</v>
      </c>
      <c r="I240" t="s">
        <v>26</v>
      </c>
      <c r="J240" t="s">
        <v>135</v>
      </c>
      <c r="K240" t="s">
        <v>136</v>
      </c>
      <c r="L240">
        <v>19140</v>
      </c>
      <c r="M240" t="s">
        <v>29</v>
      </c>
      <c r="N240" t="s">
        <v>69</v>
      </c>
      <c r="O240" t="s">
        <v>43</v>
      </c>
      <c r="P240" t="s">
        <v>70</v>
      </c>
      <c r="Q240" t="s">
        <v>71</v>
      </c>
      <c r="R240">
        <v>270</v>
      </c>
      <c r="S240">
        <v>6</v>
      </c>
      <c r="T240">
        <v>0</v>
      </c>
      <c r="U240">
        <v>39.42</v>
      </c>
    </row>
    <row r="241" spans="1:21" x14ac:dyDescent="0.35">
      <c r="A241">
        <v>240</v>
      </c>
      <c r="B241" t="s">
        <v>295</v>
      </c>
      <c r="C241" s="1">
        <v>46058</v>
      </c>
      <c r="D241" s="1">
        <v>46064</v>
      </c>
      <c r="E241" t="s">
        <v>35</v>
      </c>
      <c r="F241" t="s">
        <v>296</v>
      </c>
      <c r="G241" t="s">
        <v>140</v>
      </c>
      <c r="H241" t="s">
        <v>62</v>
      </c>
      <c r="I241" t="s">
        <v>26</v>
      </c>
      <c r="J241" t="s">
        <v>39</v>
      </c>
      <c r="K241" t="s">
        <v>40</v>
      </c>
      <c r="L241">
        <v>53711</v>
      </c>
      <c r="M241" t="s">
        <v>41</v>
      </c>
      <c r="N241" t="s">
        <v>121</v>
      </c>
      <c r="O241" t="s">
        <v>47</v>
      </c>
      <c r="P241" t="s">
        <v>122</v>
      </c>
      <c r="Q241" t="s">
        <v>123</v>
      </c>
      <c r="R241">
        <v>3024</v>
      </c>
      <c r="S241">
        <v>7</v>
      </c>
      <c r="T241">
        <v>0.2</v>
      </c>
      <c r="U241">
        <v>213.4</v>
      </c>
    </row>
    <row r="242" spans="1:21" x14ac:dyDescent="0.35">
      <c r="A242">
        <v>241</v>
      </c>
      <c r="B242" t="s">
        <v>297</v>
      </c>
      <c r="C242" s="1">
        <v>45901</v>
      </c>
      <c r="D242" s="1">
        <v>45907</v>
      </c>
      <c r="E242" t="s">
        <v>22</v>
      </c>
      <c r="F242" t="s">
        <v>298</v>
      </c>
      <c r="G242" t="s">
        <v>299</v>
      </c>
      <c r="H242" t="s">
        <v>62</v>
      </c>
      <c r="I242" t="s">
        <v>26</v>
      </c>
      <c r="J242" t="s">
        <v>248</v>
      </c>
      <c r="K242" t="s">
        <v>174</v>
      </c>
      <c r="L242">
        <v>75217</v>
      </c>
      <c r="M242" t="s">
        <v>41</v>
      </c>
      <c r="N242" t="s">
        <v>51</v>
      </c>
      <c r="O242" t="s">
        <v>43</v>
      </c>
      <c r="P242" t="s">
        <v>52</v>
      </c>
      <c r="Q242" t="s">
        <v>53</v>
      </c>
      <c r="R242">
        <v>8</v>
      </c>
      <c r="S242">
        <v>1</v>
      </c>
      <c r="T242">
        <v>0</v>
      </c>
      <c r="U242">
        <v>3.23</v>
      </c>
    </row>
    <row r="243" spans="1:21" x14ac:dyDescent="0.35">
      <c r="A243">
        <v>242</v>
      </c>
      <c r="B243" t="s">
        <v>297</v>
      </c>
      <c r="C243" s="1">
        <v>45901</v>
      </c>
      <c r="D243" s="1">
        <v>45907</v>
      </c>
      <c r="E243" t="s">
        <v>35</v>
      </c>
      <c r="F243" t="s">
        <v>298</v>
      </c>
      <c r="G243" t="s">
        <v>299</v>
      </c>
      <c r="H243" t="s">
        <v>62</v>
      </c>
      <c r="I243" t="s">
        <v>26</v>
      </c>
      <c r="J243" t="s">
        <v>248</v>
      </c>
      <c r="K243" t="s">
        <v>174</v>
      </c>
      <c r="L243">
        <v>75217</v>
      </c>
      <c r="M243" t="s">
        <v>41</v>
      </c>
      <c r="N243" t="s">
        <v>69</v>
      </c>
      <c r="O243" t="s">
        <v>43</v>
      </c>
      <c r="P243" t="s">
        <v>70</v>
      </c>
      <c r="Q243" t="s">
        <v>71</v>
      </c>
      <c r="R243">
        <v>283.5</v>
      </c>
      <c r="S243">
        <v>7</v>
      </c>
      <c r="T243">
        <v>0.1</v>
      </c>
      <c r="U243">
        <v>27.18</v>
      </c>
    </row>
    <row r="244" spans="1:21" x14ac:dyDescent="0.35">
      <c r="A244">
        <v>243</v>
      </c>
      <c r="B244" t="s">
        <v>297</v>
      </c>
      <c r="C244" s="1">
        <v>45901</v>
      </c>
      <c r="D244" s="1">
        <v>45907</v>
      </c>
      <c r="E244" t="s">
        <v>50</v>
      </c>
      <c r="F244" t="s">
        <v>298</v>
      </c>
      <c r="G244" t="s">
        <v>299</v>
      </c>
      <c r="H244" t="s">
        <v>62</v>
      </c>
      <c r="I244" t="s">
        <v>26</v>
      </c>
      <c r="J244" t="s">
        <v>248</v>
      </c>
      <c r="K244" t="s">
        <v>174</v>
      </c>
      <c r="L244">
        <v>75217</v>
      </c>
      <c r="M244" t="s">
        <v>41</v>
      </c>
      <c r="N244" t="s">
        <v>106</v>
      </c>
      <c r="O244" t="s">
        <v>43</v>
      </c>
      <c r="P244" t="s">
        <v>107</v>
      </c>
      <c r="Q244" t="s">
        <v>108</v>
      </c>
      <c r="R244">
        <v>44.1</v>
      </c>
      <c r="S244">
        <v>7</v>
      </c>
      <c r="T244">
        <v>0.3</v>
      </c>
      <c r="U244">
        <v>5.92</v>
      </c>
    </row>
    <row r="245" spans="1:21" x14ac:dyDescent="0.35">
      <c r="A245">
        <v>244</v>
      </c>
      <c r="B245" t="s">
        <v>300</v>
      </c>
      <c r="C245" s="1">
        <v>45889</v>
      </c>
      <c r="D245" s="1">
        <v>45893</v>
      </c>
      <c r="E245" t="s">
        <v>35</v>
      </c>
      <c r="F245" t="s">
        <v>153</v>
      </c>
      <c r="G245" t="s">
        <v>154</v>
      </c>
      <c r="H245" t="s">
        <v>25</v>
      </c>
      <c r="I245" t="s">
        <v>26</v>
      </c>
      <c r="J245" t="s">
        <v>89</v>
      </c>
      <c r="K245" t="s">
        <v>90</v>
      </c>
      <c r="L245">
        <v>90036</v>
      </c>
      <c r="M245" t="s">
        <v>85</v>
      </c>
      <c r="N245" t="s">
        <v>109</v>
      </c>
      <c r="O245" t="s">
        <v>31</v>
      </c>
      <c r="P245" t="s">
        <v>110</v>
      </c>
      <c r="Q245" t="s">
        <v>111</v>
      </c>
      <c r="R245">
        <v>120</v>
      </c>
      <c r="S245">
        <v>6</v>
      </c>
      <c r="T245">
        <v>0.2</v>
      </c>
      <c r="U245">
        <v>18.5</v>
      </c>
    </row>
    <row r="246" spans="1:21" x14ac:dyDescent="0.35">
      <c r="A246">
        <v>245</v>
      </c>
      <c r="B246" t="s">
        <v>301</v>
      </c>
      <c r="C246" s="1">
        <v>46187</v>
      </c>
      <c r="D246" s="1">
        <v>46191</v>
      </c>
      <c r="E246" t="s">
        <v>94</v>
      </c>
      <c r="F246" t="s">
        <v>23</v>
      </c>
      <c r="G246" t="s">
        <v>24</v>
      </c>
      <c r="H246" t="s">
        <v>25</v>
      </c>
      <c r="I246" t="s">
        <v>26</v>
      </c>
      <c r="J246" t="s">
        <v>27</v>
      </c>
      <c r="K246" t="s">
        <v>28</v>
      </c>
      <c r="M246" t="s">
        <v>29</v>
      </c>
      <c r="N246" t="s">
        <v>121</v>
      </c>
      <c r="O246" t="s">
        <v>47</v>
      </c>
      <c r="P246" t="s">
        <v>122</v>
      </c>
      <c r="Q246" t="s">
        <v>123</v>
      </c>
      <c r="R246">
        <v>3780</v>
      </c>
      <c r="S246">
        <v>7</v>
      </c>
      <c r="T246">
        <v>0</v>
      </c>
      <c r="U246">
        <v>718.53</v>
      </c>
    </row>
    <row r="247" spans="1:21" x14ac:dyDescent="0.35">
      <c r="A247">
        <v>246</v>
      </c>
      <c r="B247" t="s">
        <v>301</v>
      </c>
      <c r="C247" s="1">
        <v>46187</v>
      </c>
      <c r="D247" s="1">
        <v>46191</v>
      </c>
      <c r="E247" t="s">
        <v>50</v>
      </c>
      <c r="F247" t="s">
        <v>23</v>
      </c>
      <c r="G247" t="s">
        <v>24</v>
      </c>
      <c r="H247" t="s">
        <v>25</v>
      </c>
      <c r="I247" t="s">
        <v>26</v>
      </c>
      <c r="J247" t="s">
        <v>27</v>
      </c>
      <c r="K247" t="s">
        <v>28</v>
      </c>
      <c r="M247" t="s">
        <v>29</v>
      </c>
      <c r="N247" t="s">
        <v>66</v>
      </c>
      <c r="O247" t="s">
        <v>47</v>
      </c>
      <c r="P247" t="s">
        <v>67</v>
      </c>
      <c r="Q247" t="s">
        <v>68</v>
      </c>
      <c r="R247">
        <v>1782</v>
      </c>
      <c r="S247">
        <v>6</v>
      </c>
      <c r="T247">
        <v>0.1</v>
      </c>
      <c r="U247">
        <v>197.11</v>
      </c>
    </row>
    <row r="248" spans="1:21" x14ac:dyDescent="0.35">
      <c r="A248">
        <v>247</v>
      </c>
      <c r="B248" t="s">
        <v>301</v>
      </c>
      <c r="C248" s="1">
        <v>46187</v>
      </c>
      <c r="D248" s="1">
        <v>46191</v>
      </c>
      <c r="E248" t="s">
        <v>35</v>
      </c>
      <c r="F248" t="s">
        <v>23</v>
      </c>
      <c r="G248" t="s">
        <v>24</v>
      </c>
      <c r="H248" t="s">
        <v>25</v>
      </c>
      <c r="I248" t="s">
        <v>26</v>
      </c>
      <c r="J248" t="s">
        <v>27</v>
      </c>
      <c r="K248" t="s">
        <v>28</v>
      </c>
      <c r="M248" t="s">
        <v>29</v>
      </c>
      <c r="N248" t="s">
        <v>30</v>
      </c>
      <c r="O248" t="s">
        <v>31</v>
      </c>
      <c r="P248" t="s">
        <v>32</v>
      </c>
      <c r="Q248" t="s">
        <v>33</v>
      </c>
      <c r="R248">
        <v>322</v>
      </c>
      <c r="S248">
        <v>2</v>
      </c>
      <c r="T248">
        <v>0.3</v>
      </c>
      <c r="U248">
        <v>-20.58</v>
      </c>
    </row>
    <row r="249" spans="1:21" x14ac:dyDescent="0.35">
      <c r="A249">
        <v>248</v>
      </c>
      <c r="B249" t="s">
        <v>301</v>
      </c>
      <c r="C249" s="1">
        <v>46187</v>
      </c>
      <c r="D249" s="1">
        <v>46191</v>
      </c>
      <c r="E249" t="s">
        <v>35</v>
      </c>
      <c r="F249" t="s">
        <v>23</v>
      </c>
      <c r="G249" t="s">
        <v>24</v>
      </c>
      <c r="H249" t="s">
        <v>25</v>
      </c>
      <c r="I249" t="s">
        <v>26</v>
      </c>
      <c r="J249" t="s">
        <v>27</v>
      </c>
      <c r="K249" t="s">
        <v>28</v>
      </c>
      <c r="M249" t="s">
        <v>29</v>
      </c>
      <c r="N249" t="s">
        <v>113</v>
      </c>
      <c r="O249" t="s">
        <v>43</v>
      </c>
      <c r="P249" t="s">
        <v>114</v>
      </c>
      <c r="Q249" t="s">
        <v>115</v>
      </c>
      <c r="R249">
        <v>39.6</v>
      </c>
      <c r="S249">
        <v>4</v>
      </c>
      <c r="T249">
        <v>0.1</v>
      </c>
      <c r="U249">
        <v>10.65</v>
      </c>
    </row>
    <row r="250" spans="1:21" x14ac:dyDescent="0.35">
      <c r="A250">
        <v>249</v>
      </c>
      <c r="B250" t="s">
        <v>302</v>
      </c>
      <c r="C250" s="1">
        <v>45399</v>
      </c>
      <c r="D250" s="1">
        <v>45403</v>
      </c>
      <c r="E250" t="s">
        <v>35</v>
      </c>
      <c r="F250" t="s">
        <v>261</v>
      </c>
      <c r="G250" t="s">
        <v>262</v>
      </c>
      <c r="H250" t="s">
        <v>38</v>
      </c>
      <c r="I250" t="s">
        <v>26</v>
      </c>
      <c r="J250" t="s">
        <v>263</v>
      </c>
      <c r="K250" t="s">
        <v>264</v>
      </c>
      <c r="L250">
        <v>60610</v>
      </c>
      <c r="M250" t="s">
        <v>41</v>
      </c>
      <c r="N250" t="s">
        <v>30</v>
      </c>
      <c r="O250" t="s">
        <v>31</v>
      </c>
      <c r="P250" t="s">
        <v>32</v>
      </c>
      <c r="Q250" t="s">
        <v>33</v>
      </c>
      <c r="R250">
        <v>690</v>
      </c>
      <c r="S250">
        <v>3</v>
      </c>
      <c r="T250">
        <v>0</v>
      </c>
      <c r="U250">
        <v>84.23</v>
      </c>
    </row>
    <row r="251" spans="1:21" x14ac:dyDescent="0.35">
      <c r="A251">
        <v>250</v>
      </c>
      <c r="B251" t="s">
        <v>302</v>
      </c>
      <c r="C251" s="1">
        <v>45399</v>
      </c>
      <c r="D251" s="1">
        <v>45403</v>
      </c>
      <c r="E251" t="s">
        <v>50</v>
      </c>
      <c r="F251" t="s">
        <v>261</v>
      </c>
      <c r="G251" t="s">
        <v>262</v>
      </c>
      <c r="H251" t="s">
        <v>38</v>
      </c>
      <c r="I251" t="s">
        <v>26</v>
      </c>
      <c r="J251" t="s">
        <v>263</v>
      </c>
      <c r="K251" t="s">
        <v>264</v>
      </c>
      <c r="L251">
        <v>60610</v>
      </c>
      <c r="M251" t="s">
        <v>41</v>
      </c>
      <c r="N251" t="s">
        <v>42</v>
      </c>
      <c r="O251" t="s">
        <v>43</v>
      </c>
      <c r="P251" t="s">
        <v>44</v>
      </c>
      <c r="Q251" t="s">
        <v>45</v>
      </c>
      <c r="R251">
        <v>78.400000000000006</v>
      </c>
      <c r="S251">
        <v>7</v>
      </c>
      <c r="T251">
        <v>0.2</v>
      </c>
      <c r="U251">
        <v>20.82</v>
      </c>
    </row>
    <row r="252" spans="1:21" x14ac:dyDescent="0.35">
      <c r="A252">
        <v>251</v>
      </c>
      <c r="B252" t="s">
        <v>302</v>
      </c>
      <c r="C252" s="1">
        <v>45399</v>
      </c>
      <c r="D252" s="1">
        <v>45403</v>
      </c>
      <c r="E252" t="s">
        <v>94</v>
      </c>
      <c r="F252" t="s">
        <v>261</v>
      </c>
      <c r="G252" t="s">
        <v>262</v>
      </c>
      <c r="H252" t="s">
        <v>38</v>
      </c>
      <c r="I252" t="s">
        <v>26</v>
      </c>
      <c r="J252" t="s">
        <v>263</v>
      </c>
      <c r="K252" t="s">
        <v>264</v>
      </c>
      <c r="L252">
        <v>60610</v>
      </c>
      <c r="M252" t="s">
        <v>41</v>
      </c>
      <c r="N252" t="s">
        <v>103</v>
      </c>
      <c r="O252" t="s">
        <v>47</v>
      </c>
      <c r="P252" t="s">
        <v>104</v>
      </c>
      <c r="Q252" t="s">
        <v>105</v>
      </c>
      <c r="R252">
        <v>2848</v>
      </c>
      <c r="S252">
        <v>4</v>
      </c>
      <c r="T252">
        <v>0.2</v>
      </c>
      <c r="U252">
        <v>228.2</v>
      </c>
    </row>
    <row r="253" spans="1:21" x14ac:dyDescent="0.35">
      <c r="A253">
        <v>252</v>
      </c>
      <c r="B253" t="s">
        <v>303</v>
      </c>
      <c r="C253" s="1">
        <v>45546</v>
      </c>
      <c r="D253" s="1">
        <v>45547</v>
      </c>
      <c r="E253" t="s">
        <v>35</v>
      </c>
      <c r="F253" t="s">
        <v>218</v>
      </c>
      <c r="G253" t="s">
        <v>219</v>
      </c>
      <c r="H253" t="s">
        <v>38</v>
      </c>
      <c r="I253" t="s">
        <v>26</v>
      </c>
      <c r="J253" t="s">
        <v>57</v>
      </c>
      <c r="K253" t="s">
        <v>58</v>
      </c>
      <c r="L253">
        <v>10009</v>
      </c>
      <c r="M253" t="s">
        <v>29</v>
      </c>
      <c r="N253" t="s">
        <v>121</v>
      </c>
      <c r="O253" t="s">
        <v>47</v>
      </c>
      <c r="P253" t="s">
        <v>122</v>
      </c>
      <c r="Q253" t="s">
        <v>123</v>
      </c>
      <c r="R253">
        <v>1296</v>
      </c>
      <c r="S253">
        <v>3</v>
      </c>
      <c r="T253">
        <v>0.2</v>
      </c>
      <c r="U253">
        <v>90.86</v>
      </c>
    </row>
    <row r="254" spans="1:21" x14ac:dyDescent="0.35">
      <c r="A254">
        <v>253</v>
      </c>
      <c r="B254" t="s">
        <v>303</v>
      </c>
      <c r="C254" s="1">
        <v>45546</v>
      </c>
      <c r="D254" s="1">
        <v>45547</v>
      </c>
      <c r="E254" t="s">
        <v>94</v>
      </c>
      <c r="F254" t="s">
        <v>218</v>
      </c>
      <c r="G254" t="s">
        <v>219</v>
      </c>
      <c r="H254" t="s">
        <v>38</v>
      </c>
      <c r="I254" t="s">
        <v>26</v>
      </c>
      <c r="J254" t="s">
        <v>57</v>
      </c>
      <c r="K254" t="s">
        <v>58</v>
      </c>
      <c r="L254">
        <v>10009</v>
      </c>
      <c r="M254" t="s">
        <v>29</v>
      </c>
      <c r="N254" t="s">
        <v>69</v>
      </c>
      <c r="O254" t="s">
        <v>43</v>
      </c>
      <c r="P254" t="s">
        <v>70</v>
      </c>
      <c r="Q254" t="s">
        <v>71</v>
      </c>
      <c r="R254">
        <v>283.5</v>
      </c>
      <c r="S254">
        <v>7</v>
      </c>
      <c r="T254">
        <v>0.1</v>
      </c>
      <c r="U254">
        <v>26.65</v>
      </c>
    </row>
    <row r="255" spans="1:21" x14ac:dyDescent="0.35">
      <c r="A255">
        <v>254</v>
      </c>
      <c r="B255" t="s">
        <v>303</v>
      </c>
      <c r="C255" s="1">
        <v>45546</v>
      </c>
      <c r="D255" s="1">
        <v>45547</v>
      </c>
      <c r="E255" t="s">
        <v>94</v>
      </c>
      <c r="F255" t="s">
        <v>218</v>
      </c>
      <c r="G255" t="s">
        <v>219</v>
      </c>
      <c r="H255" t="s">
        <v>38</v>
      </c>
      <c r="I255" t="s">
        <v>26</v>
      </c>
      <c r="J255" t="s">
        <v>57</v>
      </c>
      <c r="K255" t="s">
        <v>58</v>
      </c>
      <c r="L255">
        <v>10009</v>
      </c>
      <c r="M255" t="s">
        <v>29</v>
      </c>
      <c r="N255" t="s">
        <v>97</v>
      </c>
      <c r="O255" t="s">
        <v>31</v>
      </c>
      <c r="P255" t="s">
        <v>98</v>
      </c>
      <c r="Q255" t="s">
        <v>99</v>
      </c>
      <c r="R255">
        <v>832</v>
      </c>
      <c r="S255">
        <v>4</v>
      </c>
      <c r="T255">
        <v>0.2</v>
      </c>
      <c r="U255">
        <v>-18.43</v>
      </c>
    </row>
    <row r="256" spans="1:21" x14ac:dyDescent="0.35">
      <c r="A256">
        <v>255</v>
      </c>
      <c r="B256" t="s">
        <v>303</v>
      </c>
      <c r="C256" s="1">
        <v>45546</v>
      </c>
      <c r="D256" s="1">
        <v>45547</v>
      </c>
      <c r="E256" t="s">
        <v>50</v>
      </c>
      <c r="F256" t="s">
        <v>218</v>
      </c>
      <c r="G256" t="s">
        <v>219</v>
      </c>
      <c r="H256" t="s">
        <v>38</v>
      </c>
      <c r="I256" t="s">
        <v>26</v>
      </c>
      <c r="J256" t="s">
        <v>57</v>
      </c>
      <c r="K256" t="s">
        <v>58</v>
      </c>
      <c r="L256">
        <v>10009</v>
      </c>
      <c r="M256" t="s">
        <v>29</v>
      </c>
      <c r="N256" t="s">
        <v>51</v>
      </c>
      <c r="O256" t="s">
        <v>43</v>
      </c>
      <c r="P256" t="s">
        <v>52</v>
      </c>
      <c r="Q256" t="s">
        <v>53</v>
      </c>
      <c r="R256">
        <v>4</v>
      </c>
      <c r="S256">
        <v>1</v>
      </c>
      <c r="T256">
        <v>0.5</v>
      </c>
      <c r="U256">
        <v>-1.59</v>
      </c>
    </row>
    <row r="257" spans="1:21" x14ac:dyDescent="0.35">
      <c r="A257">
        <v>256</v>
      </c>
      <c r="B257" t="s">
        <v>304</v>
      </c>
      <c r="C257" s="1">
        <v>46254</v>
      </c>
      <c r="D257" s="1">
        <v>46255</v>
      </c>
      <c r="E257" t="s">
        <v>94</v>
      </c>
      <c r="F257" t="s">
        <v>305</v>
      </c>
      <c r="G257" t="s">
        <v>24</v>
      </c>
      <c r="H257" t="s">
        <v>62</v>
      </c>
      <c r="I257" t="s">
        <v>26</v>
      </c>
      <c r="J257" t="s">
        <v>27</v>
      </c>
      <c r="K257" t="s">
        <v>28</v>
      </c>
      <c r="M257" t="s">
        <v>29</v>
      </c>
      <c r="N257" t="s">
        <v>103</v>
      </c>
      <c r="O257" t="s">
        <v>47</v>
      </c>
      <c r="P257" t="s">
        <v>104</v>
      </c>
      <c r="Q257" t="s">
        <v>105</v>
      </c>
      <c r="R257">
        <v>1602</v>
      </c>
      <c r="S257">
        <v>2</v>
      </c>
      <c r="T257">
        <v>0.1</v>
      </c>
      <c r="U257">
        <v>225.55</v>
      </c>
    </row>
    <row r="258" spans="1:21" x14ac:dyDescent="0.35">
      <c r="A258">
        <v>257</v>
      </c>
      <c r="B258" t="s">
        <v>304</v>
      </c>
      <c r="C258" s="1">
        <v>46254</v>
      </c>
      <c r="D258" s="1">
        <v>46255</v>
      </c>
      <c r="E258" t="s">
        <v>22</v>
      </c>
      <c r="F258" t="s">
        <v>305</v>
      </c>
      <c r="G258" t="s">
        <v>24</v>
      </c>
      <c r="H258" t="s">
        <v>62</v>
      </c>
      <c r="I258" t="s">
        <v>26</v>
      </c>
      <c r="J258" t="s">
        <v>27</v>
      </c>
      <c r="K258" t="s">
        <v>28</v>
      </c>
      <c r="M258" t="s">
        <v>29</v>
      </c>
      <c r="N258" t="s">
        <v>95</v>
      </c>
      <c r="O258" t="s">
        <v>47</v>
      </c>
      <c r="P258" t="s">
        <v>48</v>
      </c>
      <c r="Q258" t="s">
        <v>96</v>
      </c>
      <c r="R258">
        <v>22</v>
      </c>
      <c r="S258">
        <v>1</v>
      </c>
      <c r="T258">
        <v>0</v>
      </c>
      <c r="U258">
        <v>4.68</v>
      </c>
    </row>
    <row r="259" spans="1:21" x14ac:dyDescent="0.35">
      <c r="A259">
        <v>258</v>
      </c>
      <c r="B259" t="s">
        <v>304</v>
      </c>
      <c r="C259" s="1">
        <v>46254</v>
      </c>
      <c r="D259" s="1">
        <v>46255</v>
      </c>
      <c r="E259" t="s">
        <v>50</v>
      </c>
      <c r="F259" t="s">
        <v>305</v>
      </c>
      <c r="G259" t="s">
        <v>24</v>
      </c>
      <c r="H259" t="s">
        <v>62</v>
      </c>
      <c r="I259" t="s">
        <v>26</v>
      </c>
      <c r="J259" t="s">
        <v>27</v>
      </c>
      <c r="K259" t="s">
        <v>28</v>
      </c>
      <c r="M259" t="s">
        <v>29</v>
      </c>
      <c r="N259" t="s">
        <v>121</v>
      </c>
      <c r="O259" t="s">
        <v>47</v>
      </c>
      <c r="P259" t="s">
        <v>122</v>
      </c>
      <c r="Q259" t="s">
        <v>123</v>
      </c>
      <c r="R259">
        <v>2700</v>
      </c>
      <c r="S259">
        <v>5</v>
      </c>
      <c r="T259">
        <v>0</v>
      </c>
      <c r="U259">
        <v>513</v>
      </c>
    </row>
    <row r="260" spans="1:21" x14ac:dyDescent="0.35">
      <c r="A260">
        <v>259</v>
      </c>
      <c r="B260" t="s">
        <v>304</v>
      </c>
      <c r="C260" s="1">
        <v>46254</v>
      </c>
      <c r="D260" s="1">
        <v>46255</v>
      </c>
      <c r="E260" t="s">
        <v>50</v>
      </c>
      <c r="F260" t="s">
        <v>305</v>
      </c>
      <c r="G260" t="s">
        <v>24</v>
      </c>
      <c r="H260" t="s">
        <v>62</v>
      </c>
      <c r="I260" t="s">
        <v>26</v>
      </c>
      <c r="J260" t="s">
        <v>27</v>
      </c>
      <c r="K260" t="s">
        <v>28</v>
      </c>
      <c r="M260" t="s">
        <v>29</v>
      </c>
      <c r="N260" t="s">
        <v>51</v>
      </c>
      <c r="O260" t="s">
        <v>43</v>
      </c>
      <c r="P260" t="s">
        <v>52</v>
      </c>
      <c r="Q260" t="s">
        <v>53</v>
      </c>
      <c r="R260">
        <v>56</v>
      </c>
      <c r="S260">
        <v>7</v>
      </c>
      <c r="T260">
        <v>0</v>
      </c>
      <c r="U260">
        <v>12.98</v>
      </c>
    </row>
    <row r="261" spans="1:21" x14ac:dyDescent="0.35">
      <c r="A261">
        <v>260</v>
      </c>
      <c r="B261" t="s">
        <v>306</v>
      </c>
      <c r="C261" s="1">
        <v>45661</v>
      </c>
      <c r="D261" s="1">
        <v>45663</v>
      </c>
      <c r="E261" t="s">
        <v>35</v>
      </c>
      <c r="F261" t="s">
        <v>60</v>
      </c>
      <c r="G261" t="s">
        <v>61</v>
      </c>
      <c r="H261" t="s">
        <v>62</v>
      </c>
      <c r="I261" t="s">
        <v>26</v>
      </c>
      <c r="J261" t="s">
        <v>63</v>
      </c>
      <c r="K261" t="s">
        <v>64</v>
      </c>
      <c r="L261">
        <v>37211</v>
      </c>
      <c r="M261" t="s">
        <v>65</v>
      </c>
      <c r="N261" t="s">
        <v>121</v>
      </c>
      <c r="O261" t="s">
        <v>47</v>
      </c>
      <c r="P261" t="s">
        <v>122</v>
      </c>
      <c r="Q261" t="s">
        <v>123</v>
      </c>
      <c r="R261">
        <v>378</v>
      </c>
      <c r="S261">
        <v>1</v>
      </c>
      <c r="T261">
        <v>0.3</v>
      </c>
      <c r="U261">
        <v>5.18</v>
      </c>
    </row>
    <row r="262" spans="1:21" x14ac:dyDescent="0.35">
      <c r="A262">
        <v>261</v>
      </c>
      <c r="B262" t="s">
        <v>306</v>
      </c>
      <c r="C262" s="1">
        <v>45661</v>
      </c>
      <c r="D262" s="1">
        <v>45663</v>
      </c>
      <c r="E262" t="s">
        <v>50</v>
      </c>
      <c r="F262" t="s">
        <v>60</v>
      </c>
      <c r="G262" t="s">
        <v>61</v>
      </c>
      <c r="H262" t="s">
        <v>62</v>
      </c>
      <c r="I262" t="s">
        <v>26</v>
      </c>
      <c r="J262" t="s">
        <v>63</v>
      </c>
      <c r="K262" t="s">
        <v>64</v>
      </c>
      <c r="L262">
        <v>37211</v>
      </c>
      <c r="M262" t="s">
        <v>65</v>
      </c>
      <c r="N262" t="s">
        <v>69</v>
      </c>
      <c r="O262" t="s">
        <v>43</v>
      </c>
      <c r="P262" t="s">
        <v>70</v>
      </c>
      <c r="Q262" t="s">
        <v>71</v>
      </c>
      <c r="R262">
        <v>315</v>
      </c>
      <c r="S262">
        <v>7</v>
      </c>
      <c r="T262">
        <v>0</v>
      </c>
      <c r="U262">
        <v>48.92</v>
      </c>
    </row>
    <row r="263" spans="1:21" x14ac:dyDescent="0.35">
      <c r="A263">
        <v>262</v>
      </c>
      <c r="B263" t="s">
        <v>306</v>
      </c>
      <c r="C263" s="1">
        <v>45661</v>
      </c>
      <c r="D263" s="1">
        <v>45663</v>
      </c>
      <c r="E263" t="s">
        <v>94</v>
      </c>
      <c r="F263" t="s">
        <v>60</v>
      </c>
      <c r="G263" t="s">
        <v>61</v>
      </c>
      <c r="H263" t="s">
        <v>62</v>
      </c>
      <c r="I263" t="s">
        <v>26</v>
      </c>
      <c r="J263" t="s">
        <v>63</v>
      </c>
      <c r="K263" t="s">
        <v>64</v>
      </c>
      <c r="L263">
        <v>37211</v>
      </c>
      <c r="M263" t="s">
        <v>65</v>
      </c>
      <c r="N263" t="s">
        <v>97</v>
      </c>
      <c r="O263" t="s">
        <v>31</v>
      </c>
      <c r="P263" t="s">
        <v>98</v>
      </c>
      <c r="Q263" t="s">
        <v>99</v>
      </c>
      <c r="R263">
        <v>234</v>
      </c>
      <c r="S263">
        <v>1</v>
      </c>
      <c r="T263">
        <v>0.1</v>
      </c>
      <c r="U263">
        <v>8.93</v>
      </c>
    </row>
    <row r="264" spans="1:21" x14ac:dyDescent="0.35">
      <c r="A264">
        <v>263</v>
      </c>
      <c r="B264" t="s">
        <v>306</v>
      </c>
      <c r="C264" s="1">
        <v>45661</v>
      </c>
      <c r="D264" s="1">
        <v>45663</v>
      </c>
      <c r="E264" t="s">
        <v>22</v>
      </c>
      <c r="F264" t="s">
        <v>60</v>
      </c>
      <c r="G264" t="s">
        <v>61</v>
      </c>
      <c r="H264" t="s">
        <v>62</v>
      </c>
      <c r="I264" t="s">
        <v>26</v>
      </c>
      <c r="J264" t="s">
        <v>63</v>
      </c>
      <c r="K264" t="s">
        <v>64</v>
      </c>
      <c r="L264">
        <v>37211</v>
      </c>
      <c r="M264" t="s">
        <v>65</v>
      </c>
      <c r="N264" t="s">
        <v>46</v>
      </c>
      <c r="O264" t="s">
        <v>47</v>
      </c>
      <c r="P264" t="s">
        <v>48</v>
      </c>
      <c r="Q264" t="s">
        <v>49</v>
      </c>
      <c r="R264">
        <v>48</v>
      </c>
      <c r="S264">
        <v>3</v>
      </c>
      <c r="T264">
        <v>0.5</v>
      </c>
      <c r="U264">
        <v>-3.99</v>
      </c>
    </row>
    <row r="265" spans="1:21" x14ac:dyDescent="0.35">
      <c r="A265">
        <v>264</v>
      </c>
      <c r="B265" t="s">
        <v>307</v>
      </c>
      <c r="C265" s="1">
        <v>45385</v>
      </c>
      <c r="D265" s="1">
        <v>45387</v>
      </c>
      <c r="E265" t="s">
        <v>22</v>
      </c>
      <c r="F265" t="s">
        <v>232</v>
      </c>
      <c r="G265" t="s">
        <v>56</v>
      </c>
      <c r="H265" t="s">
        <v>62</v>
      </c>
      <c r="I265" t="s">
        <v>26</v>
      </c>
      <c r="J265" t="s">
        <v>119</v>
      </c>
      <c r="K265" t="s">
        <v>120</v>
      </c>
      <c r="L265">
        <v>97206</v>
      </c>
      <c r="M265" t="s">
        <v>85</v>
      </c>
      <c r="N265" t="s">
        <v>97</v>
      </c>
      <c r="O265" t="s">
        <v>31</v>
      </c>
      <c r="P265" t="s">
        <v>98</v>
      </c>
      <c r="Q265" t="s">
        <v>99</v>
      </c>
      <c r="R265">
        <v>1560</v>
      </c>
      <c r="S265">
        <v>6</v>
      </c>
      <c r="T265">
        <v>0</v>
      </c>
      <c r="U265">
        <v>156.65</v>
      </c>
    </row>
    <row r="266" spans="1:21" x14ac:dyDescent="0.35">
      <c r="A266">
        <v>265</v>
      </c>
      <c r="B266" t="s">
        <v>308</v>
      </c>
      <c r="C266" s="1">
        <v>46202</v>
      </c>
      <c r="D266" s="1">
        <v>46207</v>
      </c>
      <c r="E266" t="s">
        <v>94</v>
      </c>
      <c r="F266" t="s">
        <v>195</v>
      </c>
      <c r="G266" t="s">
        <v>196</v>
      </c>
      <c r="H266" t="s">
        <v>62</v>
      </c>
      <c r="I266" t="s">
        <v>26</v>
      </c>
      <c r="J266" t="s">
        <v>150</v>
      </c>
      <c r="K266" t="s">
        <v>151</v>
      </c>
      <c r="L266">
        <v>33311</v>
      </c>
      <c r="M266" t="s">
        <v>65</v>
      </c>
      <c r="N266" t="s">
        <v>66</v>
      </c>
      <c r="O266" t="s">
        <v>47</v>
      </c>
      <c r="P266" t="s">
        <v>67</v>
      </c>
      <c r="Q266" t="s">
        <v>68</v>
      </c>
      <c r="R266">
        <v>1617</v>
      </c>
      <c r="S266">
        <v>7</v>
      </c>
      <c r="T266">
        <v>0.3</v>
      </c>
      <c r="U266">
        <v>-14.39</v>
      </c>
    </row>
    <row r="267" spans="1:21" x14ac:dyDescent="0.35">
      <c r="A267">
        <v>266</v>
      </c>
      <c r="B267" t="s">
        <v>308</v>
      </c>
      <c r="C267" s="1">
        <v>46202</v>
      </c>
      <c r="D267" s="1">
        <v>46207</v>
      </c>
      <c r="E267" t="s">
        <v>50</v>
      </c>
      <c r="F267" t="s">
        <v>195</v>
      </c>
      <c r="G267" t="s">
        <v>196</v>
      </c>
      <c r="H267" t="s">
        <v>62</v>
      </c>
      <c r="I267" t="s">
        <v>26</v>
      </c>
      <c r="J267" t="s">
        <v>150</v>
      </c>
      <c r="K267" t="s">
        <v>151</v>
      </c>
      <c r="L267">
        <v>33311</v>
      </c>
      <c r="M267" t="s">
        <v>65</v>
      </c>
      <c r="N267" t="s">
        <v>30</v>
      </c>
      <c r="O267" t="s">
        <v>31</v>
      </c>
      <c r="P267" t="s">
        <v>32</v>
      </c>
      <c r="Q267" t="s">
        <v>33</v>
      </c>
      <c r="R267">
        <v>1380</v>
      </c>
      <c r="S267">
        <v>6</v>
      </c>
      <c r="T267">
        <v>0</v>
      </c>
      <c r="U267">
        <v>165.23</v>
      </c>
    </row>
    <row r="268" spans="1:21" x14ac:dyDescent="0.35">
      <c r="A268">
        <v>267</v>
      </c>
      <c r="B268" t="s">
        <v>309</v>
      </c>
      <c r="C268" s="1">
        <v>45795</v>
      </c>
      <c r="D268" s="1">
        <v>45796</v>
      </c>
      <c r="E268" t="s">
        <v>22</v>
      </c>
      <c r="F268" t="s">
        <v>310</v>
      </c>
      <c r="G268" t="s">
        <v>191</v>
      </c>
      <c r="H268" t="s">
        <v>38</v>
      </c>
      <c r="I268" t="s">
        <v>26</v>
      </c>
      <c r="J268" t="s">
        <v>89</v>
      </c>
      <c r="K268" t="s">
        <v>90</v>
      </c>
      <c r="L268">
        <v>90036</v>
      </c>
      <c r="M268" t="s">
        <v>85</v>
      </c>
      <c r="N268" t="s">
        <v>69</v>
      </c>
      <c r="O268" t="s">
        <v>43</v>
      </c>
      <c r="P268" t="s">
        <v>70</v>
      </c>
      <c r="Q268" t="s">
        <v>71</v>
      </c>
      <c r="R268">
        <v>225</v>
      </c>
      <c r="S268">
        <v>5</v>
      </c>
      <c r="T268">
        <v>0</v>
      </c>
      <c r="U268">
        <v>34.68</v>
      </c>
    </row>
    <row r="269" spans="1:21" x14ac:dyDescent="0.35">
      <c r="A269">
        <v>268</v>
      </c>
      <c r="B269" t="s">
        <v>309</v>
      </c>
      <c r="C269" s="1">
        <v>45795</v>
      </c>
      <c r="D269" s="1">
        <v>45796</v>
      </c>
      <c r="E269" t="s">
        <v>35</v>
      </c>
      <c r="F269" t="s">
        <v>310</v>
      </c>
      <c r="G269" t="s">
        <v>191</v>
      </c>
      <c r="H269" t="s">
        <v>38</v>
      </c>
      <c r="I269" t="s">
        <v>26</v>
      </c>
      <c r="J269" t="s">
        <v>89</v>
      </c>
      <c r="K269" t="s">
        <v>90</v>
      </c>
      <c r="L269">
        <v>90036</v>
      </c>
      <c r="M269" t="s">
        <v>85</v>
      </c>
      <c r="N269" t="s">
        <v>97</v>
      </c>
      <c r="O269" t="s">
        <v>31</v>
      </c>
      <c r="P269" t="s">
        <v>98</v>
      </c>
      <c r="Q269" t="s">
        <v>99</v>
      </c>
      <c r="R269">
        <v>416</v>
      </c>
      <c r="S269">
        <v>2</v>
      </c>
      <c r="T269">
        <v>0.2</v>
      </c>
      <c r="U269">
        <v>-9.31</v>
      </c>
    </row>
    <row r="270" spans="1:21" x14ac:dyDescent="0.35">
      <c r="A270">
        <v>269</v>
      </c>
      <c r="B270" t="s">
        <v>309</v>
      </c>
      <c r="C270" s="1">
        <v>45795</v>
      </c>
      <c r="D270" s="1">
        <v>45796</v>
      </c>
      <c r="E270" t="s">
        <v>94</v>
      </c>
      <c r="F270" t="s">
        <v>310</v>
      </c>
      <c r="G270" t="s">
        <v>191</v>
      </c>
      <c r="H270" t="s">
        <v>38</v>
      </c>
      <c r="I270" t="s">
        <v>26</v>
      </c>
      <c r="J270" t="s">
        <v>89</v>
      </c>
      <c r="K270" t="s">
        <v>90</v>
      </c>
      <c r="L270">
        <v>90036</v>
      </c>
      <c r="M270" t="s">
        <v>85</v>
      </c>
      <c r="N270" t="s">
        <v>77</v>
      </c>
      <c r="O270" t="s">
        <v>31</v>
      </c>
      <c r="P270" t="s">
        <v>78</v>
      </c>
      <c r="Q270" t="s">
        <v>79</v>
      </c>
      <c r="R270">
        <v>840</v>
      </c>
      <c r="S270">
        <v>2</v>
      </c>
      <c r="T270">
        <v>0</v>
      </c>
      <c r="U270">
        <v>-41.82</v>
      </c>
    </row>
    <row r="271" spans="1:21" x14ac:dyDescent="0.35">
      <c r="A271">
        <v>270</v>
      </c>
      <c r="B271" t="s">
        <v>309</v>
      </c>
      <c r="C271" s="1">
        <v>45795</v>
      </c>
      <c r="D271" s="1">
        <v>45796</v>
      </c>
      <c r="E271" t="s">
        <v>94</v>
      </c>
      <c r="F271" t="s">
        <v>310</v>
      </c>
      <c r="G271" t="s">
        <v>191</v>
      </c>
      <c r="H271" t="s">
        <v>38</v>
      </c>
      <c r="I271" t="s">
        <v>26</v>
      </c>
      <c r="J271" t="s">
        <v>89</v>
      </c>
      <c r="K271" t="s">
        <v>90</v>
      </c>
      <c r="L271">
        <v>90036</v>
      </c>
      <c r="M271" t="s">
        <v>85</v>
      </c>
      <c r="N271" t="s">
        <v>125</v>
      </c>
      <c r="O271" t="s">
        <v>43</v>
      </c>
      <c r="P271" t="s">
        <v>126</v>
      </c>
      <c r="Q271" t="s">
        <v>127</v>
      </c>
      <c r="R271">
        <v>840</v>
      </c>
      <c r="S271">
        <v>7</v>
      </c>
      <c r="T271">
        <v>0</v>
      </c>
      <c r="U271">
        <v>149.53</v>
      </c>
    </row>
    <row r="272" spans="1:21" x14ac:dyDescent="0.35">
      <c r="A272">
        <v>271</v>
      </c>
      <c r="B272" t="s">
        <v>311</v>
      </c>
      <c r="C272" s="1">
        <v>45521</v>
      </c>
      <c r="D272" s="1">
        <v>45525</v>
      </c>
      <c r="E272" t="s">
        <v>94</v>
      </c>
      <c r="F272" t="s">
        <v>253</v>
      </c>
      <c r="G272" t="s">
        <v>254</v>
      </c>
      <c r="H272" t="s">
        <v>62</v>
      </c>
      <c r="I272" t="s">
        <v>26</v>
      </c>
      <c r="J272" t="s">
        <v>229</v>
      </c>
      <c r="K272" t="s">
        <v>230</v>
      </c>
      <c r="L272">
        <v>30318</v>
      </c>
      <c r="M272" t="s">
        <v>65</v>
      </c>
      <c r="N272" t="s">
        <v>109</v>
      </c>
      <c r="O272" t="s">
        <v>31</v>
      </c>
      <c r="P272" t="s">
        <v>110</v>
      </c>
      <c r="Q272" t="s">
        <v>111</v>
      </c>
      <c r="R272">
        <v>80</v>
      </c>
      <c r="S272">
        <v>4</v>
      </c>
      <c r="T272">
        <v>0.2</v>
      </c>
      <c r="U272">
        <v>11.17</v>
      </c>
    </row>
    <row r="273" spans="1:21" x14ac:dyDescent="0.35">
      <c r="A273">
        <v>272</v>
      </c>
      <c r="B273" t="s">
        <v>311</v>
      </c>
      <c r="C273" s="1">
        <v>45521</v>
      </c>
      <c r="D273" s="1">
        <v>45525</v>
      </c>
      <c r="E273" t="s">
        <v>22</v>
      </c>
      <c r="F273" t="s">
        <v>253</v>
      </c>
      <c r="G273" t="s">
        <v>254</v>
      </c>
      <c r="H273" t="s">
        <v>62</v>
      </c>
      <c r="I273" t="s">
        <v>26</v>
      </c>
      <c r="J273" t="s">
        <v>229</v>
      </c>
      <c r="K273" t="s">
        <v>230</v>
      </c>
      <c r="L273">
        <v>30318</v>
      </c>
      <c r="M273" t="s">
        <v>65</v>
      </c>
      <c r="N273" t="s">
        <v>95</v>
      </c>
      <c r="O273" t="s">
        <v>47</v>
      </c>
      <c r="P273" t="s">
        <v>48</v>
      </c>
      <c r="Q273" t="s">
        <v>96</v>
      </c>
      <c r="R273">
        <v>88</v>
      </c>
      <c r="S273">
        <v>4</v>
      </c>
      <c r="T273">
        <v>0</v>
      </c>
      <c r="U273">
        <v>25.4</v>
      </c>
    </row>
    <row r="274" spans="1:21" x14ac:dyDescent="0.35">
      <c r="A274">
        <v>273</v>
      </c>
      <c r="B274" t="s">
        <v>311</v>
      </c>
      <c r="C274" s="1">
        <v>45521</v>
      </c>
      <c r="D274" s="1">
        <v>45525</v>
      </c>
      <c r="E274" t="s">
        <v>22</v>
      </c>
      <c r="F274" t="s">
        <v>253</v>
      </c>
      <c r="G274" t="s">
        <v>254</v>
      </c>
      <c r="H274" t="s">
        <v>62</v>
      </c>
      <c r="I274" t="s">
        <v>26</v>
      </c>
      <c r="J274" t="s">
        <v>229</v>
      </c>
      <c r="K274" t="s">
        <v>230</v>
      </c>
      <c r="L274">
        <v>30318</v>
      </c>
      <c r="M274" t="s">
        <v>65</v>
      </c>
      <c r="N274" t="s">
        <v>121</v>
      </c>
      <c r="O274" t="s">
        <v>47</v>
      </c>
      <c r="P274" t="s">
        <v>122</v>
      </c>
      <c r="Q274" t="s">
        <v>123</v>
      </c>
      <c r="R274">
        <v>2160</v>
      </c>
      <c r="S274">
        <v>4</v>
      </c>
      <c r="T274">
        <v>0</v>
      </c>
      <c r="U274">
        <v>408.61</v>
      </c>
    </row>
    <row r="275" spans="1:21" x14ac:dyDescent="0.35">
      <c r="A275">
        <v>274</v>
      </c>
      <c r="B275" t="s">
        <v>311</v>
      </c>
      <c r="C275" s="1">
        <v>45521</v>
      </c>
      <c r="D275" s="1">
        <v>45525</v>
      </c>
      <c r="E275" t="s">
        <v>22</v>
      </c>
      <c r="F275" t="s">
        <v>253</v>
      </c>
      <c r="G275" t="s">
        <v>254</v>
      </c>
      <c r="H275" t="s">
        <v>62</v>
      </c>
      <c r="I275" t="s">
        <v>26</v>
      </c>
      <c r="J275" t="s">
        <v>229</v>
      </c>
      <c r="K275" t="s">
        <v>230</v>
      </c>
      <c r="L275">
        <v>30318</v>
      </c>
      <c r="M275" t="s">
        <v>65</v>
      </c>
      <c r="N275" t="s">
        <v>66</v>
      </c>
      <c r="O275" t="s">
        <v>47</v>
      </c>
      <c r="P275" t="s">
        <v>67</v>
      </c>
      <c r="Q275" t="s">
        <v>68</v>
      </c>
      <c r="R275">
        <v>660</v>
      </c>
      <c r="S275">
        <v>2</v>
      </c>
      <c r="T275">
        <v>0</v>
      </c>
      <c r="U275">
        <v>113.89</v>
      </c>
    </row>
    <row r="276" spans="1:21" x14ac:dyDescent="0.35">
      <c r="A276">
        <v>275</v>
      </c>
      <c r="B276" t="s">
        <v>312</v>
      </c>
      <c r="C276" s="1">
        <v>45498</v>
      </c>
      <c r="D276" s="1">
        <v>45500</v>
      </c>
      <c r="E276" t="s">
        <v>35</v>
      </c>
      <c r="F276" t="s">
        <v>157</v>
      </c>
      <c r="G276" t="s">
        <v>158</v>
      </c>
      <c r="H276" t="s">
        <v>62</v>
      </c>
      <c r="I276" t="s">
        <v>26</v>
      </c>
      <c r="J276" t="s">
        <v>89</v>
      </c>
      <c r="K276" t="s">
        <v>90</v>
      </c>
      <c r="L276">
        <v>90036</v>
      </c>
      <c r="M276" t="s">
        <v>85</v>
      </c>
      <c r="N276" t="s">
        <v>103</v>
      </c>
      <c r="O276" t="s">
        <v>47</v>
      </c>
      <c r="P276" t="s">
        <v>104</v>
      </c>
      <c r="Q276" t="s">
        <v>105</v>
      </c>
      <c r="R276">
        <v>1602</v>
      </c>
      <c r="S276">
        <v>2</v>
      </c>
      <c r="T276">
        <v>0.1</v>
      </c>
      <c r="U276">
        <v>224.75</v>
      </c>
    </row>
    <row r="277" spans="1:21" x14ac:dyDescent="0.35">
      <c r="A277">
        <v>276</v>
      </c>
      <c r="B277" t="s">
        <v>312</v>
      </c>
      <c r="C277" s="1">
        <v>45498</v>
      </c>
      <c r="D277" s="1">
        <v>45500</v>
      </c>
      <c r="E277" t="s">
        <v>50</v>
      </c>
      <c r="F277" t="s">
        <v>157</v>
      </c>
      <c r="G277" t="s">
        <v>158</v>
      </c>
      <c r="H277" t="s">
        <v>62</v>
      </c>
      <c r="I277" t="s">
        <v>26</v>
      </c>
      <c r="J277" t="s">
        <v>89</v>
      </c>
      <c r="K277" t="s">
        <v>90</v>
      </c>
      <c r="L277">
        <v>90036</v>
      </c>
      <c r="M277" t="s">
        <v>85</v>
      </c>
      <c r="N277" t="s">
        <v>121</v>
      </c>
      <c r="O277" t="s">
        <v>47</v>
      </c>
      <c r="P277" t="s">
        <v>122</v>
      </c>
      <c r="Q277" t="s">
        <v>123</v>
      </c>
      <c r="R277">
        <v>2700</v>
      </c>
      <c r="S277">
        <v>5</v>
      </c>
      <c r="T277">
        <v>0</v>
      </c>
      <c r="U277">
        <v>511.63</v>
      </c>
    </row>
    <row r="278" spans="1:21" x14ac:dyDescent="0.35">
      <c r="A278">
        <v>277</v>
      </c>
      <c r="B278" t="s">
        <v>312</v>
      </c>
      <c r="C278" s="1">
        <v>45498</v>
      </c>
      <c r="D278" s="1">
        <v>45500</v>
      </c>
      <c r="E278" t="s">
        <v>94</v>
      </c>
      <c r="F278" t="s">
        <v>157</v>
      </c>
      <c r="G278" t="s">
        <v>158</v>
      </c>
      <c r="H278" t="s">
        <v>62</v>
      </c>
      <c r="I278" t="s">
        <v>26</v>
      </c>
      <c r="J278" t="s">
        <v>89</v>
      </c>
      <c r="K278" t="s">
        <v>90</v>
      </c>
      <c r="L278">
        <v>90036</v>
      </c>
      <c r="M278" t="s">
        <v>85</v>
      </c>
      <c r="N278" t="s">
        <v>30</v>
      </c>
      <c r="O278" t="s">
        <v>31</v>
      </c>
      <c r="P278" t="s">
        <v>32</v>
      </c>
      <c r="Q278" t="s">
        <v>33</v>
      </c>
      <c r="R278">
        <v>1150</v>
      </c>
      <c r="S278">
        <v>5</v>
      </c>
      <c r="T278">
        <v>0</v>
      </c>
      <c r="U278">
        <v>138.93</v>
      </c>
    </row>
    <row r="279" spans="1:21" x14ac:dyDescent="0.35">
      <c r="A279">
        <v>278</v>
      </c>
      <c r="B279" t="s">
        <v>313</v>
      </c>
      <c r="C279" s="1">
        <v>45813</v>
      </c>
      <c r="D279" s="1">
        <v>45816</v>
      </c>
      <c r="E279" t="s">
        <v>35</v>
      </c>
      <c r="F279" t="s">
        <v>213</v>
      </c>
      <c r="G279" t="s">
        <v>214</v>
      </c>
      <c r="H279" t="s">
        <v>25</v>
      </c>
      <c r="I279" t="s">
        <v>26</v>
      </c>
      <c r="J279" t="s">
        <v>75</v>
      </c>
      <c r="K279" t="s">
        <v>76</v>
      </c>
      <c r="L279">
        <v>2110</v>
      </c>
      <c r="M279" t="s">
        <v>29</v>
      </c>
      <c r="N279" t="s">
        <v>51</v>
      </c>
      <c r="O279" t="s">
        <v>43</v>
      </c>
      <c r="P279" t="s">
        <v>52</v>
      </c>
      <c r="Q279" t="s">
        <v>53</v>
      </c>
      <c r="R279">
        <v>24</v>
      </c>
      <c r="S279">
        <v>3</v>
      </c>
      <c r="T279">
        <v>0</v>
      </c>
      <c r="U279">
        <v>5.97</v>
      </c>
    </row>
    <row r="280" spans="1:21" x14ac:dyDescent="0.35">
      <c r="A280">
        <v>279</v>
      </c>
      <c r="B280" t="s">
        <v>313</v>
      </c>
      <c r="C280" s="1">
        <v>45813</v>
      </c>
      <c r="D280" s="1">
        <v>45816</v>
      </c>
      <c r="E280" t="s">
        <v>94</v>
      </c>
      <c r="F280" t="s">
        <v>213</v>
      </c>
      <c r="G280" t="s">
        <v>214</v>
      </c>
      <c r="H280" t="s">
        <v>25</v>
      </c>
      <c r="I280" t="s">
        <v>26</v>
      </c>
      <c r="J280" t="s">
        <v>75</v>
      </c>
      <c r="K280" t="s">
        <v>76</v>
      </c>
      <c r="L280">
        <v>2110</v>
      </c>
      <c r="M280" t="s">
        <v>29</v>
      </c>
      <c r="N280" t="s">
        <v>66</v>
      </c>
      <c r="O280" t="s">
        <v>47</v>
      </c>
      <c r="P280" t="s">
        <v>67</v>
      </c>
      <c r="Q280" t="s">
        <v>68</v>
      </c>
      <c r="R280">
        <v>2310</v>
      </c>
      <c r="S280">
        <v>7</v>
      </c>
      <c r="T280">
        <v>0</v>
      </c>
      <c r="U280">
        <v>393.73</v>
      </c>
    </row>
    <row r="281" spans="1:21" x14ac:dyDescent="0.35">
      <c r="A281">
        <v>280</v>
      </c>
      <c r="B281" t="s">
        <v>313</v>
      </c>
      <c r="C281" s="1">
        <v>45813</v>
      </c>
      <c r="D281" s="1">
        <v>45816</v>
      </c>
      <c r="E281" t="s">
        <v>94</v>
      </c>
      <c r="F281" t="s">
        <v>213</v>
      </c>
      <c r="G281" t="s">
        <v>214</v>
      </c>
      <c r="H281" t="s">
        <v>25</v>
      </c>
      <c r="I281" t="s">
        <v>26</v>
      </c>
      <c r="J281" t="s">
        <v>75</v>
      </c>
      <c r="K281" t="s">
        <v>76</v>
      </c>
      <c r="L281">
        <v>2110</v>
      </c>
      <c r="M281" t="s">
        <v>29</v>
      </c>
      <c r="N281" t="s">
        <v>46</v>
      </c>
      <c r="O281" t="s">
        <v>47</v>
      </c>
      <c r="P281" t="s">
        <v>48</v>
      </c>
      <c r="Q281" t="s">
        <v>49</v>
      </c>
      <c r="R281">
        <v>32</v>
      </c>
      <c r="S281">
        <v>1</v>
      </c>
      <c r="T281">
        <v>0</v>
      </c>
      <c r="U281">
        <v>7.53</v>
      </c>
    </row>
    <row r="282" spans="1:21" x14ac:dyDescent="0.35">
      <c r="A282">
        <v>281</v>
      </c>
      <c r="B282" t="s">
        <v>313</v>
      </c>
      <c r="C282" s="1">
        <v>45813</v>
      </c>
      <c r="D282" s="1">
        <v>45816</v>
      </c>
      <c r="E282" t="s">
        <v>50</v>
      </c>
      <c r="F282" t="s">
        <v>213</v>
      </c>
      <c r="G282" t="s">
        <v>214</v>
      </c>
      <c r="H282" t="s">
        <v>25</v>
      </c>
      <c r="I282" t="s">
        <v>26</v>
      </c>
      <c r="J282" t="s">
        <v>75</v>
      </c>
      <c r="K282" t="s">
        <v>76</v>
      </c>
      <c r="L282">
        <v>2110</v>
      </c>
      <c r="M282" t="s">
        <v>29</v>
      </c>
      <c r="N282" t="s">
        <v>103</v>
      </c>
      <c r="O282" t="s">
        <v>47</v>
      </c>
      <c r="P282" t="s">
        <v>104</v>
      </c>
      <c r="Q282" t="s">
        <v>105</v>
      </c>
      <c r="R282">
        <v>3560</v>
      </c>
      <c r="S282">
        <v>4</v>
      </c>
      <c r="T282">
        <v>0</v>
      </c>
      <c r="U282">
        <v>712.07</v>
      </c>
    </row>
    <row r="283" spans="1:21" x14ac:dyDescent="0.35">
      <c r="A283">
        <v>282</v>
      </c>
      <c r="B283" t="s">
        <v>314</v>
      </c>
      <c r="C283" s="1">
        <v>45413</v>
      </c>
      <c r="D283" s="1">
        <v>45416</v>
      </c>
      <c r="E283" t="s">
        <v>50</v>
      </c>
      <c r="F283" t="s">
        <v>213</v>
      </c>
      <c r="G283" t="s">
        <v>214</v>
      </c>
      <c r="H283" t="s">
        <v>25</v>
      </c>
      <c r="I283" t="s">
        <v>26</v>
      </c>
      <c r="J283" t="s">
        <v>75</v>
      </c>
      <c r="K283" t="s">
        <v>76</v>
      </c>
      <c r="L283">
        <v>2110</v>
      </c>
      <c r="M283" t="s">
        <v>29</v>
      </c>
      <c r="N283" t="s">
        <v>109</v>
      </c>
      <c r="O283" t="s">
        <v>31</v>
      </c>
      <c r="P283" t="s">
        <v>110</v>
      </c>
      <c r="Q283" t="s">
        <v>111</v>
      </c>
      <c r="R283">
        <v>20</v>
      </c>
      <c r="S283">
        <v>1</v>
      </c>
      <c r="T283">
        <v>0.2</v>
      </c>
      <c r="U283">
        <v>4.93</v>
      </c>
    </row>
    <row r="284" spans="1:21" x14ac:dyDescent="0.35">
      <c r="A284">
        <v>283</v>
      </c>
      <c r="B284" t="s">
        <v>315</v>
      </c>
      <c r="C284" s="1">
        <v>45351</v>
      </c>
      <c r="D284" s="1">
        <v>45355</v>
      </c>
      <c r="E284" t="s">
        <v>35</v>
      </c>
      <c r="F284" t="s">
        <v>73</v>
      </c>
      <c r="G284" t="s">
        <v>74</v>
      </c>
      <c r="H284" t="s">
        <v>38</v>
      </c>
      <c r="I284" t="s">
        <v>26</v>
      </c>
      <c r="J284" t="s">
        <v>75</v>
      </c>
      <c r="K284" t="s">
        <v>76</v>
      </c>
      <c r="L284">
        <v>2110</v>
      </c>
      <c r="M284" t="s">
        <v>29</v>
      </c>
      <c r="N284" t="s">
        <v>121</v>
      </c>
      <c r="O284" t="s">
        <v>47</v>
      </c>
      <c r="P284" t="s">
        <v>122</v>
      </c>
      <c r="Q284" t="s">
        <v>123</v>
      </c>
      <c r="R284">
        <v>1080</v>
      </c>
      <c r="S284">
        <v>2</v>
      </c>
      <c r="T284">
        <v>0</v>
      </c>
      <c r="U284">
        <v>203.94</v>
      </c>
    </row>
    <row r="285" spans="1:21" x14ac:dyDescent="0.35">
      <c r="A285">
        <v>284</v>
      </c>
      <c r="B285" t="s">
        <v>315</v>
      </c>
      <c r="C285" s="1">
        <v>45351</v>
      </c>
      <c r="D285" s="1">
        <v>45355</v>
      </c>
      <c r="E285" t="s">
        <v>94</v>
      </c>
      <c r="F285" t="s">
        <v>73</v>
      </c>
      <c r="G285" t="s">
        <v>74</v>
      </c>
      <c r="H285" t="s">
        <v>38</v>
      </c>
      <c r="I285" t="s">
        <v>26</v>
      </c>
      <c r="J285" t="s">
        <v>75</v>
      </c>
      <c r="K285" t="s">
        <v>76</v>
      </c>
      <c r="L285">
        <v>2110</v>
      </c>
      <c r="M285" t="s">
        <v>29</v>
      </c>
      <c r="N285" t="s">
        <v>103</v>
      </c>
      <c r="O285" t="s">
        <v>47</v>
      </c>
      <c r="P285" t="s">
        <v>104</v>
      </c>
      <c r="Q285" t="s">
        <v>105</v>
      </c>
      <c r="R285">
        <v>2136</v>
      </c>
      <c r="S285">
        <v>3</v>
      </c>
      <c r="T285">
        <v>0.2</v>
      </c>
      <c r="U285">
        <v>169.82</v>
      </c>
    </row>
    <row r="286" spans="1:21" x14ac:dyDescent="0.35">
      <c r="A286">
        <v>285</v>
      </c>
      <c r="B286" t="s">
        <v>316</v>
      </c>
      <c r="C286" s="1">
        <v>45300</v>
      </c>
      <c r="D286" s="1">
        <v>45301</v>
      </c>
      <c r="E286" t="s">
        <v>94</v>
      </c>
      <c r="F286" t="s">
        <v>36</v>
      </c>
      <c r="G286" t="s">
        <v>37</v>
      </c>
      <c r="H286" t="s">
        <v>38</v>
      </c>
      <c r="I286" t="s">
        <v>26</v>
      </c>
      <c r="J286" t="s">
        <v>39</v>
      </c>
      <c r="K286" t="s">
        <v>40</v>
      </c>
      <c r="L286">
        <v>53711</v>
      </c>
      <c r="M286" t="s">
        <v>41</v>
      </c>
      <c r="N286" t="s">
        <v>121</v>
      </c>
      <c r="O286" t="s">
        <v>47</v>
      </c>
      <c r="P286" t="s">
        <v>122</v>
      </c>
      <c r="Q286" t="s">
        <v>123</v>
      </c>
      <c r="R286">
        <v>1350</v>
      </c>
      <c r="S286">
        <v>5</v>
      </c>
      <c r="T286">
        <v>0.5</v>
      </c>
      <c r="U286">
        <v>-150.22999999999999</v>
      </c>
    </row>
    <row r="287" spans="1:21" x14ac:dyDescent="0.35">
      <c r="A287">
        <v>286</v>
      </c>
      <c r="B287" t="s">
        <v>316</v>
      </c>
      <c r="C287" s="1">
        <v>45300</v>
      </c>
      <c r="D287" s="1">
        <v>45301</v>
      </c>
      <c r="E287" t="s">
        <v>35</v>
      </c>
      <c r="F287" t="s">
        <v>36</v>
      </c>
      <c r="G287" t="s">
        <v>37</v>
      </c>
      <c r="H287" t="s">
        <v>38</v>
      </c>
      <c r="I287" t="s">
        <v>26</v>
      </c>
      <c r="J287" t="s">
        <v>39</v>
      </c>
      <c r="K287" t="s">
        <v>40</v>
      </c>
      <c r="L287">
        <v>53711</v>
      </c>
      <c r="M287" t="s">
        <v>41</v>
      </c>
      <c r="N287" t="s">
        <v>69</v>
      </c>
      <c r="O287" t="s">
        <v>43</v>
      </c>
      <c r="P287" t="s">
        <v>70</v>
      </c>
      <c r="Q287" t="s">
        <v>71</v>
      </c>
      <c r="R287">
        <v>45</v>
      </c>
      <c r="S287">
        <v>1</v>
      </c>
      <c r="T287">
        <v>0</v>
      </c>
      <c r="U287">
        <v>7.45</v>
      </c>
    </row>
    <row r="288" spans="1:21" x14ac:dyDescent="0.35">
      <c r="A288">
        <v>287</v>
      </c>
      <c r="B288" t="s">
        <v>316</v>
      </c>
      <c r="C288" s="1">
        <v>45300</v>
      </c>
      <c r="D288" s="1">
        <v>45301</v>
      </c>
      <c r="E288" t="s">
        <v>22</v>
      </c>
      <c r="F288" t="s">
        <v>36</v>
      </c>
      <c r="G288" t="s">
        <v>37</v>
      </c>
      <c r="H288" t="s">
        <v>38</v>
      </c>
      <c r="I288" t="s">
        <v>26</v>
      </c>
      <c r="J288" t="s">
        <v>39</v>
      </c>
      <c r="K288" t="s">
        <v>40</v>
      </c>
      <c r="L288">
        <v>53711</v>
      </c>
      <c r="M288" t="s">
        <v>41</v>
      </c>
      <c r="N288" t="s">
        <v>42</v>
      </c>
      <c r="O288" t="s">
        <v>43</v>
      </c>
      <c r="P288" t="s">
        <v>44</v>
      </c>
      <c r="Q288" t="s">
        <v>45</v>
      </c>
      <c r="R288">
        <v>70</v>
      </c>
      <c r="S288">
        <v>5</v>
      </c>
      <c r="T288">
        <v>0</v>
      </c>
      <c r="U288">
        <v>28.12</v>
      </c>
    </row>
    <row r="289" spans="1:21" x14ac:dyDescent="0.35">
      <c r="A289">
        <v>288</v>
      </c>
      <c r="B289" t="s">
        <v>316</v>
      </c>
      <c r="C289" s="1">
        <v>45300</v>
      </c>
      <c r="D289" s="1">
        <v>45301</v>
      </c>
      <c r="E289" t="s">
        <v>94</v>
      </c>
      <c r="F289" t="s">
        <v>36</v>
      </c>
      <c r="G289" t="s">
        <v>37</v>
      </c>
      <c r="H289" t="s">
        <v>38</v>
      </c>
      <c r="I289" t="s">
        <v>26</v>
      </c>
      <c r="J289" t="s">
        <v>39</v>
      </c>
      <c r="K289" t="s">
        <v>40</v>
      </c>
      <c r="L289">
        <v>53711</v>
      </c>
      <c r="M289" t="s">
        <v>41</v>
      </c>
      <c r="N289" t="s">
        <v>106</v>
      </c>
      <c r="O289" t="s">
        <v>43</v>
      </c>
      <c r="P289" t="s">
        <v>107</v>
      </c>
      <c r="Q289" t="s">
        <v>108</v>
      </c>
      <c r="R289">
        <v>36</v>
      </c>
      <c r="S289">
        <v>4</v>
      </c>
      <c r="T289">
        <v>0</v>
      </c>
      <c r="U289">
        <v>11.94</v>
      </c>
    </row>
    <row r="290" spans="1:21" x14ac:dyDescent="0.35">
      <c r="A290">
        <v>289</v>
      </c>
      <c r="B290" t="s">
        <v>317</v>
      </c>
      <c r="C290" s="1">
        <v>45912</v>
      </c>
      <c r="D290" s="1">
        <v>45918</v>
      </c>
      <c r="E290" t="s">
        <v>50</v>
      </c>
      <c r="F290" t="s">
        <v>172</v>
      </c>
      <c r="G290" t="s">
        <v>118</v>
      </c>
      <c r="H290" t="s">
        <v>38</v>
      </c>
      <c r="I290" t="s">
        <v>26</v>
      </c>
      <c r="J290" t="s">
        <v>173</v>
      </c>
      <c r="K290" t="s">
        <v>174</v>
      </c>
      <c r="L290">
        <v>77095</v>
      </c>
      <c r="M290" t="s">
        <v>41</v>
      </c>
      <c r="N290" t="s">
        <v>121</v>
      </c>
      <c r="O290" t="s">
        <v>47</v>
      </c>
      <c r="P290" t="s">
        <v>122</v>
      </c>
      <c r="Q290" t="s">
        <v>123</v>
      </c>
      <c r="R290">
        <v>2160</v>
      </c>
      <c r="S290">
        <v>4</v>
      </c>
      <c r="T290">
        <v>0</v>
      </c>
      <c r="U290">
        <v>410.81</v>
      </c>
    </row>
    <row r="291" spans="1:21" x14ac:dyDescent="0.35">
      <c r="A291">
        <v>290</v>
      </c>
      <c r="B291" t="s">
        <v>318</v>
      </c>
      <c r="C291" s="1">
        <v>45292</v>
      </c>
      <c r="D291" s="1">
        <v>45296</v>
      </c>
      <c r="E291" t="s">
        <v>50</v>
      </c>
      <c r="F291" t="s">
        <v>283</v>
      </c>
      <c r="G291" t="s">
        <v>204</v>
      </c>
      <c r="H291" t="s">
        <v>62</v>
      </c>
      <c r="I291" t="s">
        <v>26</v>
      </c>
      <c r="J291" t="s">
        <v>135</v>
      </c>
      <c r="K291" t="s">
        <v>136</v>
      </c>
      <c r="L291">
        <v>19140</v>
      </c>
      <c r="M291" t="s">
        <v>29</v>
      </c>
      <c r="N291" t="s">
        <v>46</v>
      </c>
      <c r="O291" t="s">
        <v>47</v>
      </c>
      <c r="P291" t="s">
        <v>48</v>
      </c>
      <c r="Q291" t="s">
        <v>49</v>
      </c>
      <c r="R291">
        <v>192</v>
      </c>
      <c r="S291">
        <v>6</v>
      </c>
      <c r="T291">
        <v>0</v>
      </c>
      <c r="U291">
        <v>42.84</v>
      </c>
    </row>
    <row r="292" spans="1:21" x14ac:dyDescent="0.35">
      <c r="A292">
        <v>291</v>
      </c>
      <c r="B292" t="s">
        <v>318</v>
      </c>
      <c r="C292" s="1">
        <v>45292</v>
      </c>
      <c r="D292" s="1">
        <v>45296</v>
      </c>
      <c r="E292" t="s">
        <v>35</v>
      </c>
      <c r="F292" t="s">
        <v>283</v>
      </c>
      <c r="G292" t="s">
        <v>204</v>
      </c>
      <c r="H292" t="s">
        <v>62</v>
      </c>
      <c r="I292" t="s">
        <v>26</v>
      </c>
      <c r="J292" t="s">
        <v>135</v>
      </c>
      <c r="K292" t="s">
        <v>136</v>
      </c>
      <c r="L292">
        <v>19140</v>
      </c>
      <c r="M292" t="s">
        <v>29</v>
      </c>
      <c r="N292" t="s">
        <v>106</v>
      </c>
      <c r="O292" t="s">
        <v>43</v>
      </c>
      <c r="P292" t="s">
        <v>107</v>
      </c>
      <c r="Q292" t="s">
        <v>108</v>
      </c>
      <c r="R292">
        <v>56.7</v>
      </c>
      <c r="S292">
        <v>7</v>
      </c>
      <c r="T292">
        <v>0.1</v>
      </c>
      <c r="U292">
        <v>12.82</v>
      </c>
    </row>
    <row r="293" spans="1:21" x14ac:dyDescent="0.35">
      <c r="A293">
        <v>292</v>
      </c>
      <c r="B293" t="s">
        <v>318</v>
      </c>
      <c r="C293" s="1">
        <v>45292</v>
      </c>
      <c r="D293" s="1">
        <v>45296</v>
      </c>
      <c r="E293" t="s">
        <v>22</v>
      </c>
      <c r="F293" t="s">
        <v>283</v>
      </c>
      <c r="G293" t="s">
        <v>204</v>
      </c>
      <c r="H293" t="s">
        <v>62</v>
      </c>
      <c r="I293" t="s">
        <v>26</v>
      </c>
      <c r="J293" t="s">
        <v>135</v>
      </c>
      <c r="K293" t="s">
        <v>136</v>
      </c>
      <c r="L293">
        <v>19140</v>
      </c>
      <c r="M293" t="s">
        <v>29</v>
      </c>
      <c r="N293" t="s">
        <v>125</v>
      </c>
      <c r="O293" t="s">
        <v>43</v>
      </c>
      <c r="P293" t="s">
        <v>126</v>
      </c>
      <c r="Q293" t="s">
        <v>127</v>
      </c>
      <c r="R293">
        <v>600</v>
      </c>
      <c r="S293">
        <v>5</v>
      </c>
      <c r="T293">
        <v>0</v>
      </c>
      <c r="U293">
        <v>106.5</v>
      </c>
    </row>
    <row r="294" spans="1:21" x14ac:dyDescent="0.35">
      <c r="A294">
        <v>293</v>
      </c>
      <c r="B294" t="s">
        <v>318</v>
      </c>
      <c r="C294" s="1">
        <v>45292</v>
      </c>
      <c r="D294" s="1">
        <v>45296</v>
      </c>
      <c r="E294" t="s">
        <v>22</v>
      </c>
      <c r="F294" t="s">
        <v>283</v>
      </c>
      <c r="G294" t="s">
        <v>204</v>
      </c>
      <c r="H294" t="s">
        <v>62</v>
      </c>
      <c r="I294" t="s">
        <v>26</v>
      </c>
      <c r="J294" t="s">
        <v>135</v>
      </c>
      <c r="K294" t="s">
        <v>136</v>
      </c>
      <c r="L294">
        <v>19140</v>
      </c>
      <c r="M294" t="s">
        <v>29</v>
      </c>
      <c r="N294" t="s">
        <v>103</v>
      </c>
      <c r="O294" t="s">
        <v>47</v>
      </c>
      <c r="P294" t="s">
        <v>104</v>
      </c>
      <c r="Q294" t="s">
        <v>105</v>
      </c>
      <c r="R294">
        <v>801</v>
      </c>
      <c r="S294">
        <v>1</v>
      </c>
      <c r="T294">
        <v>0.1</v>
      </c>
      <c r="U294">
        <v>113.26</v>
      </c>
    </row>
    <row r="295" spans="1:21" x14ac:dyDescent="0.35">
      <c r="A295">
        <v>294</v>
      </c>
      <c r="B295" t="s">
        <v>319</v>
      </c>
      <c r="C295" s="1">
        <v>45461</v>
      </c>
      <c r="D295" s="1">
        <v>45462</v>
      </c>
      <c r="E295" t="s">
        <v>35</v>
      </c>
      <c r="F295" t="s">
        <v>172</v>
      </c>
      <c r="G295" t="s">
        <v>118</v>
      </c>
      <c r="H295" t="s">
        <v>38</v>
      </c>
      <c r="I295" t="s">
        <v>26</v>
      </c>
      <c r="J295" t="s">
        <v>173</v>
      </c>
      <c r="K295" t="s">
        <v>174</v>
      </c>
      <c r="L295">
        <v>77095</v>
      </c>
      <c r="M295" t="s">
        <v>41</v>
      </c>
      <c r="N295" t="s">
        <v>106</v>
      </c>
      <c r="O295" t="s">
        <v>43</v>
      </c>
      <c r="P295" t="s">
        <v>107</v>
      </c>
      <c r="Q295" t="s">
        <v>108</v>
      </c>
      <c r="R295">
        <v>18</v>
      </c>
      <c r="S295">
        <v>2</v>
      </c>
      <c r="T295">
        <v>0</v>
      </c>
      <c r="U295">
        <v>6.27</v>
      </c>
    </row>
    <row r="296" spans="1:21" x14ac:dyDescent="0.35">
      <c r="A296">
        <v>295</v>
      </c>
      <c r="B296" t="s">
        <v>319</v>
      </c>
      <c r="C296" s="1">
        <v>45461</v>
      </c>
      <c r="D296" s="1">
        <v>45462</v>
      </c>
      <c r="E296" t="s">
        <v>35</v>
      </c>
      <c r="F296" t="s">
        <v>172</v>
      </c>
      <c r="G296" t="s">
        <v>118</v>
      </c>
      <c r="H296" t="s">
        <v>38</v>
      </c>
      <c r="I296" t="s">
        <v>26</v>
      </c>
      <c r="J296" t="s">
        <v>173</v>
      </c>
      <c r="K296" t="s">
        <v>174</v>
      </c>
      <c r="L296">
        <v>77095</v>
      </c>
      <c r="M296" t="s">
        <v>41</v>
      </c>
      <c r="N296" t="s">
        <v>95</v>
      </c>
      <c r="O296" t="s">
        <v>47</v>
      </c>
      <c r="P296" t="s">
        <v>48</v>
      </c>
      <c r="Q296" t="s">
        <v>96</v>
      </c>
      <c r="R296">
        <v>19.8</v>
      </c>
      <c r="S296">
        <v>1</v>
      </c>
      <c r="T296">
        <v>0.1</v>
      </c>
      <c r="U296">
        <v>4</v>
      </c>
    </row>
    <row r="297" spans="1:21" x14ac:dyDescent="0.35">
      <c r="A297">
        <v>296</v>
      </c>
      <c r="B297" t="s">
        <v>320</v>
      </c>
      <c r="C297" s="1">
        <v>45920</v>
      </c>
      <c r="D297" s="1">
        <v>45922</v>
      </c>
      <c r="E297" t="s">
        <v>22</v>
      </c>
      <c r="F297" t="s">
        <v>266</v>
      </c>
      <c r="G297" t="s">
        <v>262</v>
      </c>
      <c r="H297" t="s">
        <v>62</v>
      </c>
      <c r="I297" t="s">
        <v>26</v>
      </c>
      <c r="J297" t="s">
        <v>63</v>
      </c>
      <c r="K297" t="s">
        <v>64</v>
      </c>
      <c r="L297">
        <v>37211</v>
      </c>
      <c r="M297" t="s">
        <v>65</v>
      </c>
      <c r="N297" t="s">
        <v>51</v>
      </c>
      <c r="O297" t="s">
        <v>43</v>
      </c>
      <c r="P297" t="s">
        <v>52</v>
      </c>
      <c r="Q297" t="s">
        <v>53</v>
      </c>
      <c r="R297">
        <v>32</v>
      </c>
      <c r="S297">
        <v>4</v>
      </c>
      <c r="T297">
        <v>0</v>
      </c>
      <c r="U297">
        <v>8.43</v>
      </c>
    </row>
    <row r="298" spans="1:21" x14ac:dyDescent="0.35">
      <c r="A298">
        <v>297</v>
      </c>
      <c r="B298" t="s">
        <v>320</v>
      </c>
      <c r="C298" s="1">
        <v>45920</v>
      </c>
      <c r="D298" s="1">
        <v>45922</v>
      </c>
      <c r="E298" t="s">
        <v>94</v>
      </c>
      <c r="F298" t="s">
        <v>266</v>
      </c>
      <c r="G298" t="s">
        <v>262</v>
      </c>
      <c r="H298" t="s">
        <v>62</v>
      </c>
      <c r="I298" t="s">
        <v>26</v>
      </c>
      <c r="J298" t="s">
        <v>63</v>
      </c>
      <c r="K298" t="s">
        <v>64</v>
      </c>
      <c r="L298">
        <v>37211</v>
      </c>
      <c r="M298" t="s">
        <v>65</v>
      </c>
      <c r="N298" t="s">
        <v>113</v>
      </c>
      <c r="O298" t="s">
        <v>43</v>
      </c>
      <c r="P298" t="s">
        <v>114</v>
      </c>
      <c r="Q298" t="s">
        <v>115</v>
      </c>
      <c r="R298">
        <v>33</v>
      </c>
      <c r="S298">
        <v>6</v>
      </c>
      <c r="T298">
        <v>0.5</v>
      </c>
      <c r="U298">
        <v>1.21</v>
      </c>
    </row>
    <row r="299" spans="1:21" x14ac:dyDescent="0.35">
      <c r="A299">
        <v>298</v>
      </c>
      <c r="B299" t="s">
        <v>320</v>
      </c>
      <c r="C299" s="1">
        <v>45920</v>
      </c>
      <c r="D299" s="1">
        <v>45922</v>
      </c>
      <c r="E299" t="s">
        <v>50</v>
      </c>
      <c r="F299" t="s">
        <v>266</v>
      </c>
      <c r="G299" t="s">
        <v>262</v>
      </c>
      <c r="H299" t="s">
        <v>62</v>
      </c>
      <c r="I299" t="s">
        <v>26</v>
      </c>
      <c r="J299" t="s">
        <v>63</v>
      </c>
      <c r="K299" t="s">
        <v>64</v>
      </c>
      <c r="L299">
        <v>37211</v>
      </c>
      <c r="M299" t="s">
        <v>65</v>
      </c>
      <c r="N299" t="s">
        <v>66</v>
      </c>
      <c r="O299" t="s">
        <v>47</v>
      </c>
      <c r="P299" t="s">
        <v>67</v>
      </c>
      <c r="Q299" t="s">
        <v>68</v>
      </c>
      <c r="R299">
        <v>1980</v>
      </c>
      <c r="S299">
        <v>6</v>
      </c>
      <c r="T299">
        <v>0</v>
      </c>
      <c r="U299">
        <v>338.48</v>
      </c>
    </row>
    <row r="300" spans="1:21" x14ac:dyDescent="0.35">
      <c r="A300">
        <v>299</v>
      </c>
      <c r="B300" t="s">
        <v>320</v>
      </c>
      <c r="C300" s="1">
        <v>45920</v>
      </c>
      <c r="D300" s="1">
        <v>45922</v>
      </c>
      <c r="E300" t="s">
        <v>94</v>
      </c>
      <c r="F300" t="s">
        <v>266</v>
      </c>
      <c r="G300" t="s">
        <v>262</v>
      </c>
      <c r="H300" t="s">
        <v>62</v>
      </c>
      <c r="I300" t="s">
        <v>26</v>
      </c>
      <c r="J300" t="s">
        <v>63</v>
      </c>
      <c r="K300" t="s">
        <v>64</v>
      </c>
      <c r="L300">
        <v>37211</v>
      </c>
      <c r="M300" t="s">
        <v>65</v>
      </c>
      <c r="N300" t="s">
        <v>77</v>
      </c>
      <c r="O300" t="s">
        <v>31</v>
      </c>
      <c r="P300" t="s">
        <v>78</v>
      </c>
      <c r="Q300" t="s">
        <v>79</v>
      </c>
      <c r="R300">
        <v>420</v>
      </c>
      <c r="S300">
        <v>1</v>
      </c>
      <c r="T300">
        <v>0</v>
      </c>
      <c r="U300">
        <v>-20.36</v>
      </c>
    </row>
    <row r="301" spans="1:21" x14ac:dyDescent="0.35">
      <c r="A301">
        <v>300</v>
      </c>
      <c r="B301" t="s">
        <v>321</v>
      </c>
      <c r="C301" s="1">
        <v>45533</v>
      </c>
      <c r="D301" s="1">
        <v>45535</v>
      </c>
      <c r="E301" t="s">
        <v>94</v>
      </c>
      <c r="F301" t="s">
        <v>289</v>
      </c>
      <c r="G301" t="s">
        <v>290</v>
      </c>
      <c r="H301" t="s">
        <v>62</v>
      </c>
      <c r="I301" t="s">
        <v>26</v>
      </c>
      <c r="J301" t="s">
        <v>57</v>
      </c>
      <c r="K301" t="s">
        <v>58</v>
      </c>
      <c r="L301">
        <v>10009</v>
      </c>
      <c r="M301" t="s">
        <v>29</v>
      </c>
      <c r="N301" t="s">
        <v>113</v>
      </c>
      <c r="O301" t="s">
        <v>43</v>
      </c>
      <c r="P301" t="s">
        <v>114</v>
      </c>
      <c r="Q301" t="s">
        <v>115</v>
      </c>
      <c r="R301">
        <v>33</v>
      </c>
      <c r="S301">
        <v>3</v>
      </c>
      <c r="T301">
        <v>0</v>
      </c>
      <c r="U301">
        <v>11.43</v>
      </c>
    </row>
    <row r="302" spans="1:21" x14ac:dyDescent="0.35">
      <c r="A302">
        <v>301</v>
      </c>
      <c r="B302" t="s">
        <v>321</v>
      </c>
      <c r="C302" s="1">
        <v>45533</v>
      </c>
      <c r="D302" s="1">
        <v>45535</v>
      </c>
      <c r="E302" t="s">
        <v>22</v>
      </c>
      <c r="F302" t="s">
        <v>289</v>
      </c>
      <c r="G302" t="s">
        <v>290</v>
      </c>
      <c r="H302" t="s">
        <v>62</v>
      </c>
      <c r="I302" t="s">
        <v>26</v>
      </c>
      <c r="J302" t="s">
        <v>57</v>
      </c>
      <c r="K302" t="s">
        <v>58</v>
      </c>
      <c r="L302">
        <v>10009</v>
      </c>
      <c r="M302" t="s">
        <v>29</v>
      </c>
      <c r="N302" t="s">
        <v>42</v>
      </c>
      <c r="O302" t="s">
        <v>43</v>
      </c>
      <c r="P302" t="s">
        <v>44</v>
      </c>
      <c r="Q302" t="s">
        <v>45</v>
      </c>
      <c r="R302">
        <v>84</v>
      </c>
      <c r="S302">
        <v>6</v>
      </c>
      <c r="T302">
        <v>0</v>
      </c>
      <c r="U302">
        <v>33.89</v>
      </c>
    </row>
    <row r="303" spans="1:21" x14ac:dyDescent="0.35">
      <c r="A303">
        <v>302</v>
      </c>
      <c r="B303" t="s">
        <v>321</v>
      </c>
      <c r="C303" s="1">
        <v>45533</v>
      </c>
      <c r="D303" s="1">
        <v>45535</v>
      </c>
      <c r="E303" t="s">
        <v>35</v>
      </c>
      <c r="F303" t="s">
        <v>289</v>
      </c>
      <c r="G303" t="s">
        <v>290</v>
      </c>
      <c r="H303" t="s">
        <v>62</v>
      </c>
      <c r="I303" t="s">
        <v>26</v>
      </c>
      <c r="J303" t="s">
        <v>57</v>
      </c>
      <c r="K303" t="s">
        <v>58</v>
      </c>
      <c r="L303">
        <v>10009</v>
      </c>
      <c r="M303" t="s">
        <v>29</v>
      </c>
      <c r="N303" t="s">
        <v>69</v>
      </c>
      <c r="O303" t="s">
        <v>43</v>
      </c>
      <c r="P303" t="s">
        <v>70</v>
      </c>
      <c r="Q303" t="s">
        <v>71</v>
      </c>
      <c r="R303">
        <v>225</v>
      </c>
      <c r="S303">
        <v>5</v>
      </c>
      <c r="T303">
        <v>0</v>
      </c>
      <c r="U303">
        <v>34.39</v>
      </c>
    </row>
    <row r="304" spans="1:21" x14ac:dyDescent="0.35">
      <c r="A304">
        <v>303</v>
      </c>
      <c r="B304" t="s">
        <v>321</v>
      </c>
      <c r="C304" s="1">
        <v>45533</v>
      </c>
      <c r="D304" s="1">
        <v>45535</v>
      </c>
      <c r="E304" t="s">
        <v>94</v>
      </c>
      <c r="F304" t="s">
        <v>289</v>
      </c>
      <c r="G304" t="s">
        <v>290</v>
      </c>
      <c r="H304" t="s">
        <v>62</v>
      </c>
      <c r="I304" t="s">
        <v>26</v>
      </c>
      <c r="J304" t="s">
        <v>57</v>
      </c>
      <c r="K304" t="s">
        <v>58</v>
      </c>
      <c r="L304">
        <v>10009</v>
      </c>
      <c r="M304" t="s">
        <v>29</v>
      </c>
      <c r="N304" t="s">
        <v>103</v>
      </c>
      <c r="O304" t="s">
        <v>47</v>
      </c>
      <c r="P304" t="s">
        <v>104</v>
      </c>
      <c r="Q304" t="s">
        <v>105</v>
      </c>
      <c r="R304">
        <v>5340</v>
      </c>
      <c r="S304">
        <v>6</v>
      </c>
      <c r="T304">
        <v>0</v>
      </c>
      <c r="U304">
        <v>1069.3699999999999</v>
      </c>
    </row>
    <row r="305" spans="1:21" x14ac:dyDescent="0.35">
      <c r="A305">
        <v>304</v>
      </c>
      <c r="B305" t="s">
        <v>322</v>
      </c>
      <c r="C305" s="1">
        <v>45569</v>
      </c>
      <c r="D305" s="1">
        <v>45575</v>
      </c>
      <c r="E305" t="s">
        <v>50</v>
      </c>
      <c r="F305" t="s">
        <v>23</v>
      </c>
      <c r="G305" t="s">
        <v>24</v>
      </c>
      <c r="H305" t="s">
        <v>25</v>
      </c>
      <c r="I305" t="s">
        <v>26</v>
      </c>
      <c r="J305" t="s">
        <v>27</v>
      </c>
      <c r="K305" t="s">
        <v>28</v>
      </c>
      <c r="M305" t="s">
        <v>29</v>
      </c>
      <c r="N305" t="s">
        <v>103</v>
      </c>
      <c r="O305" t="s">
        <v>47</v>
      </c>
      <c r="P305" t="s">
        <v>104</v>
      </c>
      <c r="Q305" t="s">
        <v>105</v>
      </c>
      <c r="R305">
        <v>4450</v>
      </c>
      <c r="S305">
        <v>5</v>
      </c>
      <c r="T305">
        <v>0</v>
      </c>
      <c r="U305">
        <v>889.12</v>
      </c>
    </row>
    <row r="306" spans="1:21" x14ac:dyDescent="0.35">
      <c r="A306">
        <v>305</v>
      </c>
      <c r="B306" t="s">
        <v>323</v>
      </c>
      <c r="C306" s="1">
        <v>45698</v>
      </c>
      <c r="D306" s="1">
        <v>45700</v>
      </c>
      <c r="E306" t="s">
        <v>35</v>
      </c>
      <c r="F306" t="s">
        <v>296</v>
      </c>
      <c r="G306" t="s">
        <v>140</v>
      </c>
      <c r="H306" t="s">
        <v>62</v>
      </c>
      <c r="I306" t="s">
        <v>26</v>
      </c>
      <c r="J306" t="s">
        <v>39</v>
      </c>
      <c r="K306" t="s">
        <v>40</v>
      </c>
      <c r="L306">
        <v>53711</v>
      </c>
      <c r="M306" t="s">
        <v>41</v>
      </c>
      <c r="N306" t="s">
        <v>106</v>
      </c>
      <c r="O306" t="s">
        <v>43</v>
      </c>
      <c r="P306" t="s">
        <v>107</v>
      </c>
      <c r="Q306" t="s">
        <v>108</v>
      </c>
      <c r="R306">
        <v>63</v>
      </c>
      <c r="S306">
        <v>7</v>
      </c>
      <c r="T306">
        <v>0</v>
      </c>
      <c r="U306">
        <v>20.21</v>
      </c>
    </row>
    <row r="307" spans="1:21" x14ac:dyDescent="0.35">
      <c r="A307">
        <v>306</v>
      </c>
      <c r="B307" t="s">
        <v>324</v>
      </c>
      <c r="C307" s="1">
        <v>45534</v>
      </c>
      <c r="D307" s="1">
        <v>45539</v>
      </c>
      <c r="E307" t="s">
        <v>94</v>
      </c>
      <c r="F307" t="s">
        <v>129</v>
      </c>
      <c r="G307" t="s">
        <v>130</v>
      </c>
      <c r="H307" t="s">
        <v>62</v>
      </c>
      <c r="I307" t="s">
        <v>26</v>
      </c>
      <c r="J307" t="s">
        <v>131</v>
      </c>
      <c r="K307" t="s">
        <v>90</v>
      </c>
      <c r="L307">
        <v>94122</v>
      </c>
      <c r="M307" t="s">
        <v>85</v>
      </c>
      <c r="N307" t="s">
        <v>121</v>
      </c>
      <c r="O307" t="s">
        <v>47</v>
      </c>
      <c r="P307" t="s">
        <v>122</v>
      </c>
      <c r="Q307" t="s">
        <v>123</v>
      </c>
      <c r="R307">
        <v>1728</v>
      </c>
      <c r="S307">
        <v>4</v>
      </c>
      <c r="T307">
        <v>0.2</v>
      </c>
      <c r="U307">
        <v>122.56</v>
      </c>
    </row>
    <row r="308" spans="1:21" x14ac:dyDescent="0.35">
      <c r="A308">
        <v>307</v>
      </c>
      <c r="B308" t="s">
        <v>324</v>
      </c>
      <c r="C308" s="1">
        <v>45534</v>
      </c>
      <c r="D308" s="1">
        <v>45539</v>
      </c>
      <c r="E308" t="s">
        <v>35</v>
      </c>
      <c r="F308" t="s">
        <v>129</v>
      </c>
      <c r="G308" t="s">
        <v>130</v>
      </c>
      <c r="H308" t="s">
        <v>62</v>
      </c>
      <c r="I308" t="s">
        <v>26</v>
      </c>
      <c r="J308" t="s">
        <v>131</v>
      </c>
      <c r="K308" t="s">
        <v>90</v>
      </c>
      <c r="L308">
        <v>94122</v>
      </c>
      <c r="M308" t="s">
        <v>85</v>
      </c>
      <c r="N308" t="s">
        <v>113</v>
      </c>
      <c r="O308" t="s">
        <v>43</v>
      </c>
      <c r="P308" t="s">
        <v>114</v>
      </c>
      <c r="Q308" t="s">
        <v>115</v>
      </c>
      <c r="R308">
        <v>8.8000000000000007</v>
      </c>
      <c r="S308">
        <v>1</v>
      </c>
      <c r="T308">
        <v>0.2</v>
      </c>
      <c r="U308">
        <v>1.85</v>
      </c>
    </row>
    <row r="309" spans="1:21" x14ac:dyDescent="0.35">
      <c r="A309">
        <v>308</v>
      </c>
      <c r="B309" t="s">
        <v>325</v>
      </c>
      <c r="C309" s="1">
        <v>45642</v>
      </c>
      <c r="D309" s="1">
        <v>45645</v>
      </c>
      <c r="E309" t="s">
        <v>50</v>
      </c>
      <c r="F309" t="s">
        <v>117</v>
      </c>
      <c r="G309" t="s">
        <v>118</v>
      </c>
      <c r="H309" t="s">
        <v>25</v>
      </c>
      <c r="I309" t="s">
        <v>26</v>
      </c>
      <c r="J309" t="s">
        <v>119</v>
      </c>
      <c r="K309" t="s">
        <v>120</v>
      </c>
      <c r="L309">
        <v>97206</v>
      </c>
      <c r="M309" t="s">
        <v>85</v>
      </c>
      <c r="N309" t="s">
        <v>66</v>
      </c>
      <c r="O309" t="s">
        <v>47</v>
      </c>
      <c r="P309" t="s">
        <v>67</v>
      </c>
      <c r="Q309" t="s">
        <v>68</v>
      </c>
      <c r="R309">
        <v>891</v>
      </c>
      <c r="S309">
        <v>3</v>
      </c>
      <c r="T309">
        <v>0.1</v>
      </c>
      <c r="U309">
        <v>99.2</v>
      </c>
    </row>
    <row r="310" spans="1:21" x14ac:dyDescent="0.35">
      <c r="A310">
        <v>309</v>
      </c>
      <c r="B310" t="s">
        <v>325</v>
      </c>
      <c r="C310" s="1">
        <v>45642</v>
      </c>
      <c r="D310" s="1">
        <v>45645</v>
      </c>
      <c r="E310" t="s">
        <v>94</v>
      </c>
      <c r="F310" t="s">
        <v>117</v>
      </c>
      <c r="G310" t="s">
        <v>118</v>
      </c>
      <c r="H310" t="s">
        <v>25</v>
      </c>
      <c r="I310" t="s">
        <v>26</v>
      </c>
      <c r="J310" t="s">
        <v>119</v>
      </c>
      <c r="K310" t="s">
        <v>120</v>
      </c>
      <c r="L310">
        <v>97206</v>
      </c>
      <c r="M310" t="s">
        <v>85</v>
      </c>
      <c r="N310" t="s">
        <v>51</v>
      </c>
      <c r="O310" t="s">
        <v>43</v>
      </c>
      <c r="P310" t="s">
        <v>52</v>
      </c>
      <c r="Q310" t="s">
        <v>53</v>
      </c>
      <c r="R310">
        <v>24</v>
      </c>
      <c r="S310">
        <v>3</v>
      </c>
      <c r="T310">
        <v>0</v>
      </c>
      <c r="U310">
        <v>5.23</v>
      </c>
    </row>
    <row r="311" spans="1:21" x14ac:dyDescent="0.35">
      <c r="A311">
        <v>310</v>
      </c>
      <c r="B311" t="s">
        <v>326</v>
      </c>
      <c r="C311" s="1">
        <v>45407</v>
      </c>
      <c r="D311" s="1">
        <v>45412</v>
      </c>
      <c r="E311" t="s">
        <v>94</v>
      </c>
      <c r="F311" t="s">
        <v>266</v>
      </c>
      <c r="G311" t="s">
        <v>262</v>
      </c>
      <c r="H311" t="s">
        <v>62</v>
      </c>
      <c r="I311" t="s">
        <v>26</v>
      </c>
      <c r="J311" t="s">
        <v>63</v>
      </c>
      <c r="K311" t="s">
        <v>64</v>
      </c>
      <c r="L311">
        <v>37211</v>
      </c>
      <c r="M311" t="s">
        <v>65</v>
      </c>
      <c r="N311" t="s">
        <v>125</v>
      </c>
      <c r="O311" t="s">
        <v>43</v>
      </c>
      <c r="P311" t="s">
        <v>126</v>
      </c>
      <c r="Q311" t="s">
        <v>127</v>
      </c>
      <c r="R311">
        <v>360</v>
      </c>
      <c r="S311">
        <v>6</v>
      </c>
      <c r="T311">
        <v>0.5</v>
      </c>
      <c r="U311">
        <v>-43.74</v>
      </c>
    </row>
    <row r="312" spans="1:21" x14ac:dyDescent="0.35">
      <c r="A312">
        <v>311</v>
      </c>
      <c r="B312" t="s">
        <v>326</v>
      </c>
      <c r="C312" s="1">
        <v>45407</v>
      </c>
      <c r="D312" s="1">
        <v>45412</v>
      </c>
      <c r="E312" t="s">
        <v>50</v>
      </c>
      <c r="F312" t="s">
        <v>266</v>
      </c>
      <c r="G312" t="s">
        <v>262</v>
      </c>
      <c r="H312" t="s">
        <v>62</v>
      </c>
      <c r="I312" t="s">
        <v>26</v>
      </c>
      <c r="J312" t="s">
        <v>63</v>
      </c>
      <c r="K312" t="s">
        <v>64</v>
      </c>
      <c r="L312">
        <v>37211</v>
      </c>
      <c r="M312" t="s">
        <v>65</v>
      </c>
      <c r="N312" t="s">
        <v>51</v>
      </c>
      <c r="O312" t="s">
        <v>43</v>
      </c>
      <c r="P312" t="s">
        <v>52</v>
      </c>
      <c r="Q312" t="s">
        <v>53</v>
      </c>
      <c r="R312">
        <v>56</v>
      </c>
      <c r="S312">
        <v>7</v>
      </c>
      <c r="T312">
        <v>0</v>
      </c>
      <c r="U312">
        <v>14.8</v>
      </c>
    </row>
    <row r="313" spans="1:21" x14ac:dyDescent="0.35">
      <c r="A313">
        <v>312</v>
      </c>
      <c r="B313" t="s">
        <v>326</v>
      </c>
      <c r="C313" s="1">
        <v>45407</v>
      </c>
      <c r="D313" s="1">
        <v>45412</v>
      </c>
      <c r="E313" t="s">
        <v>35</v>
      </c>
      <c r="F313" t="s">
        <v>266</v>
      </c>
      <c r="G313" t="s">
        <v>262</v>
      </c>
      <c r="H313" t="s">
        <v>62</v>
      </c>
      <c r="I313" t="s">
        <v>26</v>
      </c>
      <c r="J313" t="s">
        <v>63</v>
      </c>
      <c r="K313" t="s">
        <v>64</v>
      </c>
      <c r="L313">
        <v>37211</v>
      </c>
      <c r="M313" t="s">
        <v>65</v>
      </c>
      <c r="N313" t="s">
        <v>106</v>
      </c>
      <c r="O313" t="s">
        <v>43</v>
      </c>
      <c r="P313" t="s">
        <v>107</v>
      </c>
      <c r="Q313" t="s">
        <v>108</v>
      </c>
      <c r="R313">
        <v>14.4</v>
      </c>
      <c r="S313">
        <v>2</v>
      </c>
      <c r="T313">
        <v>0.2</v>
      </c>
      <c r="U313">
        <v>3.52</v>
      </c>
    </row>
    <row r="314" spans="1:21" x14ac:dyDescent="0.35">
      <c r="A314">
        <v>313</v>
      </c>
      <c r="B314" t="s">
        <v>326</v>
      </c>
      <c r="C314" s="1">
        <v>45407</v>
      </c>
      <c r="D314" s="1">
        <v>45412</v>
      </c>
      <c r="E314" t="s">
        <v>94</v>
      </c>
      <c r="F314" t="s">
        <v>266</v>
      </c>
      <c r="G314" t="s">
        <v>262</v>
      </c>
      <c r="H314" t="s">
        <v>62</v>
      </c>
      <c r="I314" t="s">
        <v>26</v>
      </c>
      <c r="J314" t="s">
        <v>63</v>
      </c>
      <c r="K314" t="s">
        <v>64</v>
      </c>
      <c r="L314">
        <v>37211</v>
      </c>
      <c r="M314" t="s">
        <v>65</v>
      </c>
      <c r="N314" t="s">
        <v>95</v>
      </c>
      <c r="O314" t="s">
        <v>47</v>
      </c>
      <c r="P314" t="s">
        <v>48</v>
      </c>
      <c r="Q314" t="s">
        <v>96</v>
      </c>
      <c r="R314">
        <v>110</v>
      </c>
      <c r="S314">
        <v>5</v>
      </c>
      <c r="T314">
        <v>0</v>
      </c>
      <c r="U314">
        <v>33.42</v>
      </c>
    </row>
    <row r="315" spans="1:21" x14ac:dyDescent="0.35">
      <c r="A315">
        <v>314</v>
      </c>
      <c r="B315" t="s">
        <v>327</v>
      </c>
      <c r="C315" s="1">
        <v>45390</v>
      </c>
      <c r="D315" s="1">
        <v>45392</v>
      </c>
      <c r="E315" t="s">
        <v>94</v>
      </c>
      <c r="F315" t="s">
        <v>117</v>
      </c>
      <c r="G315" t="s">
        <v>118</v>
      </c>
      <c r="H315" t="s">
        <v>25</v>
      </c>
      <c r="I315" t="s">
        <v>26</v>
      </c>
      <c r="J315" t="s">
        <v>119</v>
      </c>
      <c r="K315" t="s">
        <v>120</v>
      </c>
      <c r="L315">
        <v>97206</v>
      </c>
      <c r="M315" t="s">
        <v>85</v>
      </c>
      <c r="N315" t="s">
        <v>30</v>
      </c>
      <c r="O315" t="s">
        <v>31</v>
      </c>
      <c r="P315" t="s">
        <v>32</v>
      </c>
      <c r="Q315" t="s">
        <v>33</v>
      </c>
      <c r="R315">
        <v>1610</v>
      </c>
      <c r="S315">
        <v>7</v>
      </c>
      <c r="T315">
        <v>0</v>
      </c>
      <c r="U315">
        <v>194.58</v>
      </c>
    </row>
    <row r="316" spans="1:21" x14ac:dyDescent="0.35">
      <c r="A316">
        <v>315</v>
      </c>
      <c r="B316" t="s">
        <v>327</v>
      </c>
      <c r="C316" s="1">
        <v>45390</v>
      </c>
      <c r="D316" s="1">
        <v>45392</v>
      </c>
      <c r="E316" t="s">
        <v>35</v>
      </c>
      <c r="F316" t="s">
        <v>117</v>
      </c>
      <c r="G316" t="s">
        <v>118</v>
      </c>
      <c r="H316" t="s">
        <v>25</v>
      </c>
      <c r="I316" t="s">
        <v>26</v>
      </c>
      <c r="J316" t="s">
        <v>119</v>
      </c>
      <c r="K316" t="s">
        <v>120</v>
      </c>
      <c r="L316">
        <v>97206</v>
      </c>
      <c r="M316" t="s">
        <v>85</v>
      </c>
      <c r="N316" t="s">
        <v>42</v>
      </c>
      <c r="O316" t="s">
        <v>43</v>
      </c>
      <c r="P316" t="s">
        <v>44</v>
      </c>
      <c r="Q316" t="s">
        <v>45</v>
      </c>
      <c r="R316">
        <v>28</v>
      </c>
      <c r="S316">
        <v>2</v>
      </c>
      <c r="T316">
        <v>0</v>
      </c>
      <c r="U316">
        <v>11.22</v>
      </c>
    </row>
    <row r="317" spans="1:21" x14ac:dyDescent="0.35">
      <c r="A317">
        <v>316</v>
      </c>
      <c r="B317" t="s">
        <v>327</v>
      </c>
      <c r="C317" s="1">
        <v>45390</v>
      </c>
      <c r="D317" s="1">
        <v>45392</v>
      </c>
      <c r="E317" t="s">
        <v>35</v>
      </c>
      <c r="F317" t="s">
        <v>117</v>
      </c>
      <c r="G317" t="s">
        <v>118</v>
      </c>
      <c r="H317" t="s">
        <v>25</v>
      </c>
      <c r="I317" t="s">
        <v>26</v>
      </c>
      <c r="J317" t="s">
        <v>119</v>
      </c>
      <c r="K317" t="s">
        <v>120</v>
      </c>
      <c r="L317">
        <v>97206</v>
      </c>
      <c r="M317" t="s">
        <v>85</v>
      </c>
      <c r="N317" t="s">
        <v>77</v>
      </c>
      <c r="O317" t="s">
        <v>31</v>
      </c>
      <c r="P317" t="s">
        <v>78</v>
      </c>
      <c r="Q317" t="s">
        <v>79</v>
      </c>
      <c r="R317">
        <v>672</v>
      </c>
      <c r="S317">
        <v>2</v>
      </c>
      <c r="T317">
        <v>0.2</v>
      </c>
      <c r="U317">
        <v>-113.7</v>
      </c>
    </row>
    <row r="318" spans="1:21" x14ac:dyDescent="0.35">
      <c r="A318">
        <v>317</v>
      </c>
      <c r="B318" t="s">
        <v>327</v>
      </c>
      <c r="C318" s="1">
        <v>45390</v>
      </c>
      <c r="D318" s="1">
        <v>45392</v>
      </c>
      <c r="E318" t="s">
        <v>35</v>
      </c>
      <c r="F318" t="s">
        <v>117</v>
      </c>
      <c r="G318" t="s">
        <v>118</v>
      </c>
      <c r="H318" t="s">
        <v>25</v>
      </c>
      <c r="I318" t="s">
        <v>26</v>
      </c>
      <c r="J318" t="s">
        <v>119</v>
      </c>
      <c r="K318" t="s">
        <v>120</v>
      </c>
      <c r="L318">
        <v>97206</v>
      </c>
      <c r="M318" t="s">
        <v>85</v>
      </c>
      <c r="N318" t="s">
        <v>103</v>
      </c>
      <c r="O318" t="s">
        <v>47</v>
      </c>
      <c r="P318" t="s">
        <v>104</v>
      </c>
      <c r="Q318" t="s">
        <v>105</v>
      </c>
      <c r="R318">
        <v>2225</v>
      </c>
      <c r="S318">
        <v>5</v>
      </c>
      <c r="T318">
        <v>0.5</v>
      </c>
      <c r="U318">
        <v>-223.4</v>
      </c>
    </row>
    <row r="319" spans="1:21" x14ac:dyDescent="0.35">
      <c r="A319">
        <v>318</v>
      </c>
      <c r="B319" t="s">
        <v>328</v>
      </c>
      <c r="C319" s="1">
        <v>45300</v>
      </c>
      <c r="D319" s="1">
        <v>45305</v>
      </c>
      <c r="E319" t="s">
        <v>94</v>
      </c>
      <c r="F319" t="s">
        <v>241</v>
      </c>
      <c r="G319" t="s">
        <v>242</v>
      </c>
      <c r="H319" t="s">
        <v>25</v>
      </c>
      <c r="I319" t="s">
        <v>26</v>
      </c>
      <c r="J319" t="s">
        <v>229</v>
      </c>
      <c r="K319" t="s">
        <v>230</v>
      </c>
      <c r="L319">
        <v>30318</v>
      </c>
      <c r="M319" t="s">
        <v>65</v>
      </c>
      <c r="N319" t="s">
        <v>103</v>
      </c>
      <c r="O319" t="s">
        <v>47</v>
      </c>
      <c r="P319" t="s">
        <v>104</v>
      </c>
      <c r="Q319" t="s">
        <v>105</v>
      </c>
      <c r="R319">
        <v>801</v>
      </c>
      <c r="S319">
        <v>1</v>
      </c>
      <c r="T319">
        <v>0.1</v>
      </c>
      <c r="U319">
        <v>111.57</v>
      </c>
    </row>
    <row r="320" spans="1:21" x14ac:dyDescent="0.35">
      <c r="A320">
        <v>319</v>
      </c>
      <c r="B320" t="s">
        <v>329</v>
      </c>
      <c r="C320" s="1">
        <v>46186</v>
      </c>
      <c r="D320" s="1">
        <v>46189</v>
      </c>
      <c r="E320" t="s">
        <v>22</v>
      </c>
      <c r="F320" t="s">
        <v>232</v>
      </c>
      <c r="G320" t="s">
        <v>56</v>
      </c>
      <c r="H320" t="s">
        <v>62</v>
      </c>
      <c r="I320" t="s">
        <v>26</v>
      </c>
      <c r="J320" t="s">
        <v>119</v>
      </c>
      <c r="K320" t="s">
        <v>120</v>
      </c>
      <c r="L320">
        <v>97206</v>
      </c>
      <c r="M320" t="s">
        <v>85</v>
      </c>
      <c r="N320" t="s">
        <v>97</v>
      </c>
      <c r="O320" t="s">
        <v>31</v>
      </c>
      <c r="P320" t="s">
        <v>98</v>
      </c>
      <c r="Q320" t="s">
        <v>99</v>
      </c>
      <c r="R320">
        <v>1820</v>
      </c>
      <c r="S320">
        <v>7</v>
      </c>
      <c r="T320">
        <v>0</v>
      </c>
      <c r="U320">
        <v>182.76</v>
      </c>
    </row>
    <row r="321" spans="1:21" x14ac:dyDescent="0.35">
      <c r="A321">
        <v>320</v>
      </c>
      <c r="B321" t="s">
        <v>329</v>
      </c>
      <c r="C321" s="1">
        <v>46186</v>
      </c>
      <c r="D321" s="1">
        <v>46189</v>
      </c>
      <c r="E321" t="s">
        <v>22</v>
      </c>
      <c r="F321" t="s">
        <v>232</v>
      </c>
      <c r="G321" t="s">
        <v>56</v>
      </c>
      <c r="H321" t="s">
        <v>62</v>
      </c>
      <c r="I321" t="s">
        <v>26</v>
      </c>
      <c r="J321" t="s">
        <v>119</v>
      </c>
      <c r="K321" t="s">
        <v>120</v>
      </c>
      <c r="L321">
        <v>97206</v>
      </c>
      <c r="M321" t="s">
        <v>85</v>
      </c>
      <c r="N321" t="s">
        <v>42</v>
      </c>
      <c r="O321" t="s">
        <v>43</v>
      </c>
      <c r="P321" t="s">
        <v>44</v>
      </c>
      <c r="Q321" t="s">
        <v>45</v>
      </c>
      <c r="R321">
        <v>7</v>
      </c>
      <c r="S321">
        <v>1</v>
      </c>
      <c r="T321">
        <v>0.5</v>
      </c>
      <c r="U321">
        <v>-0.6</v>
      </c>
    </row>
    <row r="322" spans="1:21" x14ac:dyDescent="0.35">
      <c r="A322">
        <v>321</v>
      </c>
      <c r="B322" t="s">
        <v>330</v>
      </c>
      <c r="C322" s="1">
        <v>45781</v>
      </c>
      <c r="D322" s="1">
        <v>45784</v>
      </c>
      <c r="E322" t="s">
        <v>22</v>
      </c>
      <c r="F322" t="s">
        <v>60</v>
      </c>
      <c r="G322" t="s">
        <v>61</v>
      </c>
      <c r="H322" t="s">
        <v>62</v>
      </c>
      <c r="I322" t="s">
        <v>26</v>
      </c>
      <c r="J322" t="s">
        <v>63</v>
      </c>
      <c r="K322" t="s">
        <v>64</v>
      </c>
      <c r="L322">
        <v>37211</v>
      </c>
      <c r="M322" t="s">
        <v>65</v>
      </c>
      <c r="N322" t="s">
        <v>51</v>
      </c>
      <c r="O322" t="s">
        <v>43</v>
      </c>
      <c r="P322" t="s">
        <v>52</v>
      </c>
      <c r="Q322" t="s">
        <v>53</v>
      </c>
      <c r="R322">
        <v>8</v>
      </c>
      <c r="S322">
        <v>2</v>
      </c>
      <c r="T322">
        <v>0.5</v>
      </c>
      <c r="U322">
        <v>0.08</v>
      </c>
    </row>
    <row r="323" spans="1:21" x14ac:dyDescent="0.35">
      <c r="A323">
        <v>322</v>
      </c>
      <c r="B323" t="s">
        <v>330</v>
      </c>
      <c r="C323" s="1">
        <v>45781</v>
      </c>
      <c r="D323" s="1">
        <v>45784</v>
      </c>
      <c r="E323" t="s">
        <v>35</v>
      </c>
      <c r="F323" t="s">
        <v>60</v>
      </c>
      <c r="G323" t="s">
        <v>61</v>
      </c>
      <c r="H323" t="s">
        <v>62</v>
      </c>
      <c r="I323" t="s">
        <v>26</v>
      </c>
      <c r="J323" t="s">
        <v>63</v>
      </c>
      <c r="K323" t="s">
        <v>64</v>
      </c>
      <c r="L323">
        <v>37211</v>
      </c>
      <c r="M323" t="s">
        <v>65</v>
      </c>
      <c r="N323" t="s">
        <v>125</v>
      </c>
      <c r="O323" t="s">
        <v>43</v>
      </c>
      <c r="P323" t="s">
        <v>126</v>
      </c>
      <c r="Q323" t="s">
        <v>127</v>
      </c>
      <c r="R323">
        <v>120</v>
      </c>
      <c r="S323">
        <v>1</v>
      </c>
      <c r="T323">
        <v>0</v>
      </c>
      <c r="U323">
        <v>20.52</v>
      </c>
    </row>
    <row r="324" spans="1:21" x14ac:dyDescent="0.35">
      <c r="A324">
        <v>323</v>
      </c>
      <c r="B324" t="s">
        <v>331</v>
      </c>
      <c r="C324" s="1">
        <v>45315</v>
      </c>
      <c r="D324" s="1">
        <v>45321</v>
      </c>
      <c r="E324" t="s">
        <v>94</v>
      </c>
      <c r="F324" t="s">
        <v>203</v>
      </c>
      <c r="G324" t="s">
        <v>204</v>
      </c>
      <c r="H324" t="s">
        <v>38</v>
      </c>
      <c r="I324" t="s">
        <v>26</v>
      </c>
      <c r="J324" t="s">
        <v>75</v>
      </c>
      <c r="K324" t="s">
        <v>76</v>
      </c>
      <c r="L324">
        <v>2110</v>
      </c>
      <c r="M324" t="s">
        <v>29</v>
      </c>
      <c r="N324" t="s">
        <v>69</v>
      </c>
      <c r="O324" t="s">
        <v>43</v>
      </c>
      <c r="P324" t="s">
        <v>70</v>
      </c>
      <c r="Q324" t="s">
        <v>71</v>
      </c>
      <c r="R324">
        <v>45</v>
      </c>
      <c r="S324">
        <v>1</v>
      </c>
      <c r="T324">
        <v>0</v>
      </c>
      <c r="U324">
        <v>6.08</v>
      </c>
    </row>
    <row r="325" spans="1:21" x14ac:dyDescent="0.35">
      <c r="A325">
        <v>324</v>
      </c>
      <c r="B325" t="s">
        <v>331</v>
      </c>
      <c r="C325" s="1">
        <v>45315</v>
      </c>
      <c r="D325" s="1">
        <v>45321</v>
      </c>
      <c r="E325" t="s">
        <v>94</v>
      </c>
      <c r="F325" t="s">
        <v>203</v>
      </c>
      <c r="G325" t="s">
        <v>204</v>
      </c>
      <c r="H325" t="s">
        <v>38</v>
      </c>
      <c r="I325" t="s">
        <v>26</v>
      </c>
      <c r="J325" t="s">
        <v>75</v>
      </c>
      <c r="K325" t="s">
        <v>76</v>
      </c>
      <c r="L325">
        <v>2110</v>
      </c>
      <c r="M325" t="s">
        <v>29</v>
      </c>
      <c r="N325" t="s">
        <v>97</v>
      </c>
      <c r="O325" t="s">
        <v>31</v>
      </c>
      <c r="P325" t="s">
        <v>98</v>
      </c>
      <c r="Q325" t="s">
        <v>99</v>
      </c>
      <c r="R325">
        <v>1274</v>
      </c>
      <c r="S325">
        <v>7</v>
      </c>
      <c r="T325">
        <v>0.3</v>
      </c>
      <c r="U325">
        <v>-100.16</v>
      </c>
    </row>
    <row r="326" spans="1:21" x14ac:dyDescent="0.35">
      <c r="A326">
        <v>325</v>
      </c>
      <c r="B326" t="s">
        <v>331</v>
      </c>
      <c r="C326" s="1">
        <v>45315</v>
      </c>
      <c r="D326" s="1">
        <v>45321</v>
      </c>
      <c r="E326" t="s">
        <v>50</v>
      </c>
      <c r="F326" t="s">
        <v>203</v>
      </c>
      <c r="G326" t="s">
        <v>204</v>
      </c>
      <c r="H326" t="s">
        <v>38</v>
      </c>
      <c r="I326" t="s">
        <v>26</v>
      </c>
      <c r="J326" t="s">
        <v>75</v>
      </c>
      <c r="K326" t="s">
        <v>76</v>
      </c>
      <c r="L326">
        <v>2110</v>
      </c>
      <c r="M326" t="s">
        <v>29</v>
      </c>
      <c r="N326" t="s">
        <v>95</v>
      </c>
      <c r="O326" t="s">
        <v>47</v>
      </c>
      <c r="P326" t="s">
        <v>48</v>
      </c>
      <c r="Q326" t="s">
        <v>96</v>
      </c>
      <c r="R326">
        <v>15.4</v>
      </c>
      <c r="S326">
        <v>1</v>
      </c>
      <c r="T326">
        <v>0.3</v>
      </c>
      <c r="U326">
        <v>0.05</v>
      </c>
    </row>
    <row r="327" spans="1:21" x14ac:dyDescent="0.35">
      <c r="A327">
        <v>326</v>
      </c>
      <c r="B327" t="s">
        <v>332</v>
      </c>
      <c r="C327" s="1">
        <v>46139</v>
      </c>
      <c r="D327" s="1">
        <v>46143</v>
      </c>
      <c r="E327" t="s">
        <v>35</v>
      </c>
      <c r="F327" t="s">
        <v>200</v>
      </c>
      <c r="G327" t="s">
        <v>201</v>
      </c>
      <c r="H327" t="s">
        <v>62</v>
      </c>
      <c r="I327" t="s">
        <v>26</v>
      </c>
      <c r="J327" t="s">
        <v>75</v>
      </c>
      <c r="K327" t="s">
        <v>76</v>
      </c>
      <c r="L327">
        <v>2110</v>
      </c>
      <c r="M327" t="s">
        <v>29</v>
      </c>
      <c r="N327" t="s">
        <v>125</v>
      </c>
      <c r="O327" t="s">
        <v>43</v>
      </c>
      <c r="P327" t="s">
        <v>126</v>
      </c>
      <c r="Q327" t="s">
        <v>127</v>
      </c>
      <c r="R327">
        <v>360</v>
      </c>
      <c r="S327">
        <v>3</v>
      </c>
      <c r="T327">
        <v>0</v>
      </c>
      <c r="U327">
        <v>63.34</v>
      </c>
    </row>
    <row r="328" spans="1:21" x14ac:dyDescent="0.35">
      <c r="A328">
        <v>327</v>
      </c>
      <c r="B328" t="s">
        <v>332</v>
      </c>
      <c r="C328" s="1">
        <v>46139</v>
      </c>
      <c r="D328" s="1">
        <v>46143</v>
      </c>
      <c r="E328" t="s">
        <v>22</v>
      </c>
      <c r="F328" t="s">
        <v>200</v>
      </c>
      <c r="G328" t="s">
        <v>201</v>
      </c>
      <c r="H328" t="s">
        <v>62</v>
      </c>
      <c r="I328" t="s">
        <v>26</v>
      </c>
      <c r="J328" t="s">
        <v>75</v>
      </c>
      <c r="K328" t="s">
        <v>76</v>
      </c>
      <c r="L328">
        <v>2110</v>
      </c>
      <c r="M328" t="s">
        <v>29</v>
      </c>
      <c r="N328" t="s">
        <v>51</v>
      </c>
      <c r="O328" t="s">
        <v>43</v>
      </c>
      <c r="P328" t="s">
        <v>52</v>
      </c>
      <c r="Q328" t="s">
        <v>53</v>
      </c>
      <c r="R328">
        <v>44.8</v>
      </c>
      <c r="S328">
        <v>7</v>
      </c>
      <c r="T328">
        <v>0.2</v>
      </c>
      <c r="U328">
        <v>5.41</v>
      </c>
    </row>
    <row r="329" spans="1:21" x14ac:dyDescent="0.35">
      <c r="A329">
        <v>328</v>
      </c>
      <c r="B329" t="s">
        <v>332</v>
      </c>
      <c r="C329" s="1">
        <v>46139</v>
      </c>
      <c r="D329" s="1">
        <v>46143</v>
      </c>
      <c r="E329" t="s">
        <v>50</v>
      </c>
      <c r="F329" t="s">
        <v>200</v>
      </c>
      <c r="G329" t="s">
        <v>201</v>
      </c>
      <c r="H329" t="s">
        <v>62</v>
      </c>
      <c r="I329" t="s">
        <v>26</v>
      </c>
      <c r="J329" t="s">
        <v>75</v>
      </c>
      <c r="K329" t="s">
        <v>76</v>
      </c>
      <c r="L329">
        <v>2110</v>
      </c>
      <c r="M329" t="s">
        <v>29</v>
      </c>
      <c r="N329" t="s">
        <v>42</v>
      </c>
      <c r="O329" t="s">
        <v>43</v>
      </c>
      <c r="P329" t="s">
        <v>44</v>
      </c>
      <c r="Q329" t="s">
        <v>45</v>
      </c>
      <c r="R329">
        <v>84</v>
      </c>
      <c r="S329">
        <v>6</v>
      </c>
      <c r="T329">
        <v>0</v>
      </c>
      <c r="U329">
        <v>34.58</v>
      </c>
    </row>
    <row r="330" spans="1:21" x14ac:dyDescent="0.35">
      <c r="A330">
        <v>329</v>
      </c>
      <c r="B330" t="s">
        <v>333</v>
      </c>
      <c r="C330" s="1">
        <v>45572</v>
      </c>
      <c r="D330" s="1">
        <v>45577</v>
      </c>
      <c r="E330" t="s">
        <v>94</v>
      </c>
      <c r="F330" t="s">
        <v>23</v>
      </c>
      <c r="G330" t="s">
        <v>24</v>
      </c>
      <c r="H330" t="s">
        <v>25</v>
      </c>
      <c r="I330" t="s">
        <v>26</v>
      </c>
      <c r="J330" t="s">
        <v>27</v>
      </c>
      <c r="K330" t="s">
        <v>28</v>
      </c>
      <c r="M330" t="s">
        <v>29</v>
      </c>
      <c r="N330" t="s">
        <v>77</v>
      </c>
      <c r="O330" t="s">
        <v>31</v>
      </c>
      <c r="P330" t="s">
        <v>78</v>
      </c>
      <c r="Q330" t="s">
        <v>79</v>
      </c>
      <c r="R330">
        <v>1680</v>
      </c>
      <c r="S330">
        <v>4</v>
      </c>
      <c r="T330">
        <v>0</v>
      </c>
      <c r="U330">
        <v>-85.92</v>
      </c>
    </row>
    <row r="331" spans="1:21" x14ac:dyDescent="0.35">
      <c r="A331">
        <v>330</v>
      </c>
      <c r="B331" t="s">
        <v>333</v>
      </c>
      <c r="C331" s="1">
        <v>45572</v>
      </c>
      <c r="D331" s="1">
        <v>45577</v>
      </c>
      <c r="E331" t="s">
        <v>94</v>
      </c>
      <c r="F331" t="s">
        <v>23</v>
      </c>
      <c r="G331" t="s">
        <v>24</v>
      </c>
      <c r="H331" t="s">
        <v>25</v>
      </c>
      <c r="I331" t="s">
        <v>26</v>
      </c>
      <c r="J331" t="s">
        <v>27</v>
      </c>
      <c r="K331" t="s">
        <v>28</v>
      </c>
      <c r="M331" t="s">
        <v>29</v>
      </c>
      <c r="N331" t="s">
        <v>121</v>
      </c>
      <c r="O331" t="s">
        <v>47</v>
      </c>
      <c r="P331" t="s">
        <v>122</v>
      </c>
      <c r="Q331" t="s">
        <v>123</v>
      </c>
      <c r="R331">
        <v>1134</v>
      </c>
      <c r="S331">
        <v>3</v>
      </c>
      <c r="T331">
        <v>0.3</v>
      </c>
      <c r="U331">
        <v>10.31</v>
      </c>
    </row>
    <row r="332" spans="1:21" x14ac:dyDescent="0.35">
      <c r="A332">
        <v>331</v>
      </c>
      <c r="B332" t="s">
        <v>334</v>
      </c>
      <c r="C332" s="1">
        <v>46135</v>
      </c>
      <c r="D332" s="1">
        <v>46139</v>
      </c>
      <c r="E332" t="s">
        <v>94</v>
      </c>
      <c r="F332" t="s">
        <v>210</v>
      </c>
      <c r="G332" t="s">
        <v>211</v>
      </c>
      <c r="H332" t="s">
        <v>25</v>
      </c>
      <c r="I332" t="s">
        <v>26</v>
      </c>
      <c r="J332" t="s">
        <v>39</v>
      </c>
      <c r="K332" t="s">
        <v>40</v>
      </c>
      <c r="L332">
        <v>53711</v>
      </c>
      <c r="M332" t="s">
        <v>41</v>
      </c>
      <c r="N332" t="s">
        <v>51</v>
      </c>
      <c r="O332" t="s">
        <v>43</v>
      </c>
      <c r="P332" t="s">
        <v>52</v>
      </c>
      <c r="Q332" t="s">
        <v>53</v>
      </c>
      <c r="R332">
        <v>32</v>
      </c>
      <c r="S332">
        <v>4</v>
      </c>
      <c r="T332">
        <v>0</v>
      </c>
      <c r="U332">
        <v>6.02</v>
      </c>
    </row>
    <row r="333" spans="1:21" x14ac:dyDescent="0.35">
      <c r="A333">
        <v>332</v>
      </c>
      <c r="B333" t="s">
        <v>334</v>
      </c>
      <c r="C333" s="1">
        <v>46135</v>
      </c>
      <c r="D333" s="1">
        <v>46139</v>
      </c>
      <c r="E333" t="s">
        <v>22</v>
      </c>
      <c r="F333" t="s">
        <v>210</v>
      </c>
      <c r="G333" t="s">
        <v>211</v>
      </c>
      <c r="H333" t="s">
        <v>25</v>
      </c>
      <c r="I333" t="s">
        <v>26</v>
      </c>
      <c r="J333" t="s">
        <v>39</v>
      </c>
      <c r="K333" t="s">
        <v>40</v>
      </c>
      <c r="L333">
        <v>53711</v>
      </c>
      <c r="M333" t="s">
        <v>41</v>
      </c>
      <c r="N333" t="s">
        <v>46</v>
      </c>
      <c r="O333" t="s">
        <v>47</v>
      </c>
      <c r="P333" t="s">
        <v>48</v>
      </c>
      <c r="Q333" t="s">
        <v>49</v>
      </c>
      <c r="R333">
        <v>67.2</v>
      </c>
      <c r="S333">
        <v>3</v>
      </c>
      <c r="T333">
        <v>0.3</v>
      </c>
      <c r="U333">
        <v>2.72</v>
      </c>
    </row>
    <row r="334" spans="1:21" x14ac:dyDescent="0.35">
      <c r="A334">
        <v>333</v>
      </c>
      <c r="B334" t="s">
        <v>334</v>
      </c>
      <c r="C334" s="1">
        <v>46135</v>
      </c>
      <c r="D334" s="1">
        <v>46139</v>
      </c>
      <c r="E334" t="s">
        <v>94</v>
      </c>
      <c r="F334" t="s">
        <v>210</v>
      </c>
      <c r="G334" t="s">
        <v>211</v>
      </c>
      <c r="H334" t="s">
        <v>25</v>
      </c>
      <c r="I334" t="s">
        <v>26</v>
      </c>
      <c r="J334" t="s">
        <v>39</v>
      </c>
      <c r="K334" t="s">
        <v>40</v>
      </c>
      <c r="L334">
        <v>53711</v>
      </c>
      <c r="M334" t="s">
        <v>41</v>
      </c>
      <c r="N334" t="s">
        <v>97</v>
      </c>
      <c r="O334" t="s">
        <v>31</v>
      </c>
      <c r="P334" t="s">
        <v>98</v>
      </c>
      <c r="Q334" t="s">
        <v>99</v>
      </c>
      <c r="R334">
        <v>780</v>
      </c>
      <c r="S334">
        <v>3</v>
      </c>
      <c r="T334">
        <v>0</v>
      </c>
      <c r="U334">
        <v>79.59</v>
      </c>
    </row>
    <row r="335" spans="1:21" x14ac:dyDescent="0.35">
      <c r="A335">
        <v>334</v>
      </c>
      <c r="B335" t="s">
        <v>335</v>
      </c>
      <c r="C335" s="1">
        <v>45374</v>
      </c>
      <c r="D335" s="1">
        <v>45376</v>
      </c>
      <c r="E335" t="s">
        <v>35</v>
      </c>
      <c r="F335" t="s">
        <v>336</v>
      </c>
      <c r="G335" t="s">
        <v>337</v>
      </c>
      <c r="H335" t="s">
        <v>25</v>
      </c>
      <c r="I335" t="s">
        <v>26</v>
      </c>
      <c r="J335" t="s">
        <v>89</v>
      </c>
      <c r="K335" t="s">
        <v>90</v>
      </c>
      <c r="L335">
        <v>90036</v>
      </c>
      <c r="M335" t="s">
        <v>85</v>
      </c>
      <c r="N335" t="s">
        <v>77</v>
      </c>
      <c r="O335" t="s">
        <v>31</v>
      </c>
      <c r="P335" t="s">
        <v>78</v>
      </c>
      <c r="Q335" t="s">
        <v>79</v>
      </c>
      <c r="R335">
        <v>294</v>
      </c>
      <c r="S335">
        <v>1</v>
      </c>
      <c r="T335">
        <v>0.3</v>
      </c>
      <c r="U335">
        <v>-68.040000000000006</v>
      </c>
    </row>
    <row r="336" spans="1:21" x14ac:dyDescent="0.35">
      <c r="A336">
        <v>335</v>
      </c>
      <c r="B336" t="s">
        <v>335</v>
      </c>
      <c r="C336" s="1">
        <v>45374</v>
      </c>
      <c r="D336" s="1">
        <v>45376</v>
      </c>
      <c r="E336" t="s">
        <v>35</v>
      </c>
      <c r="F336" t="s">
        <v>336</v>
      </c>
      <c r="G336" t="s">
        <v>337</v>
      </c>
      <c r="H336" t="s">
        <v>25</v>
      </c>
      <c r="I336" t="s">
        <v>26</v>
      </c>
      <c r="J336" t="s">
        <v>89</v>
      </c>
      <c r="K336" t="s">
        <v>90</v>
      </c>
      <c r="L336">
        <v>90036</v>
      </c>
      <c r="M336" t="s">
        <v>85</v>
      </c>
      <c r="N336" t="s">
        <v>69</v>
      </c>
      <c r="O336" t="s">
        <v>43</v>
      </c>
      <c r="P336" t="s">
        <v>70</v>
      </c>
      <c r="Q336" t="s">
        <v>71</v>
      </c>
      <c r="R336">
        <v>45</v>
      </c>
      <c r="S336">
        <v>1</v>
      </c>
      <c r="T336">
        <v>0</v>
      </c>
      <c r="U336">
        <v>7.71</v>
      </c>
    </row>
    <row r="337" spans="1:21" x14ac:dyDescent="0.35">
      <c r="A337">
        <v>336</v>
      </c>
      <c r="B337" t="s">
        <v>335</v>
      </c>
      <c r="C337" s="1">
        <v>45374</v>
      </c>
      <c r="D337" s="1">
        <v>45376</v>
      </c>
      <c r="E337" t="s">
        <v>94</v>
      </c>
      <c r="F337" t="s">
        <v>336</v>
      </c>
      <c r="G337" t="s">
        <v>337</v>
      </c>
      <c r="H337" t="s">
        <v>25</v>
      </c>
      <c r="I337" t="s">
        <v>26</v>
      </c>
      <c r="J337" t="s">
        <v>89</v>
      </c>
      <c r="K337" t="s">
        <v>90</v>
      </c>
      <c r="L337">
        <v>90036</v>
      </c>
      <c r="M337" t="s">
        <v>85</v>
      </c>
      <c r="N337" t="s">
        <v>97</v>
      </c>
      <c r="O337" t="s">
        <v>31</v>
      </c>
      <c r="P337" t="s">
        <v>98</v>
      </c>
      <c r="Q337" t="s">
        <v>99</v>
      </c>
      <c r="R337">
        <v>1456</v>
      </c>
      <c r="S337">
        <v>7</v>
      </c>
      <c r="T337">
        <v>0.2</v>
      </c>
      <c r="U337">
        <v>-30.31</v>
      </c>
    </row>
    <row r="338" spans="1:21" x14ac:dyDescent="0.35">
      <c r="A338">
        <v>337</v>
      </c>
      <c r="B338" t="s">
        <v>335</v>
      </c>
      <c r="C338" s="1">
        <v>45374</v>
      </c>
      <c r="D338" s="1">
        <v>45376</v>
      </c>
      <c r="E338" t="s">
        <v>22</v>
      </c>
      <c r="F338" t="s">
        <v>336</v>
      </c>
      <c r="G338" t="s">
        <v>337</v>
      </c>
      <c r="H338" t="s">
        <v>25</v>
      </c>
      <c r="I338" t="s">
        <v>26</v>
      </c>
      <c r="J338" t="s">
        <v>89</v>
      </c>
      <c r="K338" t="s">
        <v>90</v>
      </c>
      <c r="L338">
        <v>90036</v>
      </c>
      <c r="M338" t="s">
        <v>85</v>
      </c>
      <c r="N338" t="s">
        <v>121</v>
      </c>
      <c r="O338" t="s">
        <v>47</v>
      </c>
      <c r="P338" t="s">
        <v>122</v>
      </c>
      <c r="Q338" t="s">
        <v>123</v>
      </c>
      <c r="R338">
        <v>2430</v>
      </c>
      <c r="S338">
        <v>5</v>
      </c>
      <c r="T338">
        <v>0.1</v>
      </c>
      <c r="U338">
        <v>315.48</v>
      </c>
    </row>
    <row r="339" spans="1:21" x14ac:dyDescent="0.35">
      <c r="A339">
        <v>338</v>
      </c>
      <c r="B339" t="s">
        <v>338</v>
      </c>
      <c r="C339" s="1">
        <v>45785</v>
      </c>
      <c r="D339" s="1">
        <v>45791</v>
      </c>
      <c r="E339" t="s">
        <v>94</v>
      </c>
      <c r="F339" t="s">
        <v>339</v>
      </c>
      <c r="G339" t="s">
        <v>340</v>
      </c>
      <c r="H339" t="s">
        <v>25</v>
      </c>
      <c r="I339" t="s">
        <v>26</v>
      </c>
      <c r="J339" t="s">
        <v>135</v>
      </c>
      <c r="K339" t="s">
        <v>136</v>
      </c>
      <c r="L339">
        <v>19140</v>
      </c>
      <c r="M339" t="s">
        <v>29</v>
      </c>
      <c r="N339" t="s">
        <v>46</v>
      </c>
      <c r="O339" t="s">
        <v>47</v>
      </c>
      <c r="P339" t="s">
        <v>48</v>
      </c>
      <c r="Q339" t="s">
        <v>49</v>
      </c>
      <c r="R339">
        <v>96</v>
      </c>
      <c r="S339">
        <v>3</v>
      </c>
      <c r="T339">
        <v>0</v>
      </c>
      <c r="U339">
        <v>20.2</v>
      </c>
    </row>
    <row r="340" spans="1:21" x14ac:dyDescent="0.35">
      <c r="A340">
        <v>339</v>
      </c>
      <c r="B340" t="s">
        <v>338</v>
      </c>
      <c r="C340" s="1">
        <v>45785</v>
      </c>
      <c r="D340" s="1">
        <v>45791</v>
      </c>
      <c r="E340" t="s">
        <v>22</v>
      </c>
      <c r="F340" t="s">
        <v>339</v>
      </c>
      <c r="G340" t="s">
        <v>340</v>
      </c>
      <c r="H340" t="s">
        <v>25</v>
      </c>
      <c r="I340" t="s">
        <v>26</v>
      </c>
      <c r="J340" t="s">
        <v>135</v>
      </c>
      <c r="K340" t="s">
        <v>136</v>
      </c>
      <c r="L340">
        <v>19140</v>
      </c>
      <c r="M340" t="s">
        <v>29</v>
      </c>
      <c r="N340" t="s">
        <v>97</v>
      </c>
      <c r="O340" t="s">
        <v>31</v>
      </c>
      <c r="P340" t="s">
        <v>98</v>
      </c>
      <c r="Q340" t="s">
        <v>99</v>
      </c>
      <c r="R340">
        <v>520</v>
      </c>
      <c r="S340">
        <v>2</v>
      </c>
      <c r="T340">
        <v>0</v>
      </c>
      <c r="U340">
        <v>50.43</v>
      </c>
    </row>
    <row r="341" spans="1:21" x14ac:dyDescent="0.35">
      <c r="A341">
        <v>340</v>
      </c>
      <c r="B341" t="s">
        <v>338</v>
      </c>
      <c r="C341" s="1">
        <v>45785</v>
      </c>
      <c r="D341" s="1">
        <v>45791</v>
      </c>
      <c r="E341" t="s">
        <v>50</v>
      </c>
      <c r="F341" t="s">
        <v>339</v>
      </c>
      <c r="G341" t="s">
        <v>340</v>
      </c>
      <c r="H341" t="s">
        <v>25</v>
      </c>
      <c r="I341" t="s">
        <v>26</v>
      </c>
      <c r="J341" t="s">
        <v>135</v>
      </c>
      <c r="K341" t="s">
        <v>136</v>
      </c>
      <c r="L341">
        <v>19140</v>
      </c>
      <c r="M341" t="s">
        <v>29</v>
      </c>
      <c r="N341" t="s">
        <v>77</v>
      </c>
      <c r="O341" t="s">
        <v>31</v>
      </c>
      <c r="P341" t="s">
        <v>78</v>
      </c>
      <c r="Q341" t="s">
        <v>79</v>
      </c>
      <c r="R341">
        <v>2100</v>
      </c>
      <c r="S341">
        <v>5</v>
      </c>
      <c r="T341">
        <v>0</v>
      </c>
      <c r="U341">
        <v>-105.35</v>
      </c>
    </row>
    <row r="342" spans="1:21" x14ac:dyDescent="0.35">
      <c r="A342">
        <v>341</v>
      </c>
      <c r="B342" t="s">
        <v>341</v>
      </c>
      <c r="C342" s="1">
        <v>46027</v>
      </c>
      <c r="D342" s="1">
        <v>46033</v>
      </c>
      <c r="E342" t="s">
        <v>22</v>
      </c>
      <c r="F342" t="s">
        <v>186</v>
      </c>
      <c r="G342" t="s">
        <v>187</v>
      </c>
      <c r="H342" t="s">
        <v>25</v>
      </c>
      <c r="I342" t="s">
        <v>26</v>
      </c>
      <c r="J342" t="s">
        <v>162</v>
      </c>
      <c r="K342" t="s">
        <v>163</v>
      </c>
      <c r="L342">
        <v>28205</v>
      </c>
      <c r="M342" t="s">
        <v>65</v>
      </c>
      <c r="N342" t="s">
        <v>42</v>
      </c>
      <c r="O342" t="s">
        <v>43</v>
      </c>
      <c r="P342" t="s">
        <v>44</v>
      </c>
      <c r="Q342" t="s">
        <v>45</v>
      </c>
      <c r="R342">
        <v>56</v>
      </c>
      <c r="S342">
        <v>4</v>
      </c>
      <c r="T342">
        <v>0</v>
      </c>
      <c r="U342">
        <v>23.43</v>
      </c>
    </row>
    <row r="343" spans="1:21" x14ac:dyDescent="0.35">
      <c r="A343">
        <v>342</v>
      </c>
      <c r="B343" t="s">
        <v>342</v>
      </c>
      <c r="C343" s="1">
        <v>46250</v>
      </c>
      <c r="D343" s="1">
        <v>46255</v>
      </c>
      <c r="E343" t="s">
        <v>50</v>
      </c>
      <c r="F343" t="s">
        <v>343</v>
      </c>
      <c r="G343" t="s">
        <v>344</v>
      </c>
      <c r="H343" t="s">
        <v>25</v>
      </c>
      <c r="I343" t="s">
        <v>26</v>
      </c>
      <c r="J343" t="s">
        <v>150</v>
      </c>
      <c r="K343" t="s">
        <v>151</v>
      </c>
      <c r="L343">
        <v>33311</v>
      </c>
      <c r="M343" t="s">
        <v>65</v>
      </c>
      <c r="N343" t="s">
        <v>97</v>
      </c>
      <c r="O343" t="s">
        <v>31</v>
      </c>
      <c r="P343" t="s">
        <v>98</v>
      </c>
      <c r="Q343" t="s">
        <v>99</v>
      </c>
      <c r="R343">
        <v>936</v>
      </c>
      <c r="S343">
        <v>4</v>
      </c>
      <c r="T343">
        <v>0.1</v>
      </c>
      <c r="U343">
        <v>35.53</v>
      </c>
    </row>
    <row r="344" spans="1:21" x14ac:dyDescent="0.35">
      <c r="A344">
        <v>343</v>
      </c>
      <c r="B344" t="s">
        <v>342</v>
      </c>
      <c r="C344" s="1">
        <v>46250</v>
      </c>
      <c r="D344" s="1">
        <v>46255</v>
      </c>
      <c r="E344" t="s">
        <v>35</v>
      </c>
      <c r="F344" t="s">
        <v>343</v>
      </c>
      <c r="G344" t="s">
        <v>344</v>
      </c>
      <c r="H344" t="s">
        <v>25</v>
      </c>
      <c r="I344" t="s">
        <v>26</v>
      </c>
      <c r="J344" t="s">
        <v>150</v>
      </c>
      <c r="K344" t="s">
        <v>151</v>
      </c>
      <c r="L344">
        <v>33311</v>
      </c>
      <c r="M344" t="s">
        <v>65</v>
      </c>
      <c r="N344" t="s">
        <v>109</v>
      </c>
      <c r="O344" t="s">
        <v>31</v>
      </c>
      <c r="P344" t="s">
        <v>110</v>
      </c>
      <c r="Q344" t="s">
        <v>111</v>
      </c>
      <c r="R344">
        <v>100</v>
      </c>
      <c r="S344">
        <v>4</v>
      </c>
      <c r="T344">
        <v>0</v>
      </c>
      <c r="U344">
        <v>26.83</v>
      </c>
    </row>
    <row r="345" spans="1:21" x14ac:dyDescent="0.35">
      <c r="A345">
        <v>344</v>
      </c>
      <c r="B345" t="s">
        <v>345</v>
      </c>
      <c r="C345" s="1">
        <v>46215</v>
      </c>
      <c r="D345" s="1">
        <v>46218</v>
      </c>
      <c r="E345" t="s">
        <v>35</v>
      </c>
      <c r="F345" t="s">
        <v>213</v>
      </c>
      <c r="G345" t="s">
        <v>214</v>
      </c>
      <c r="H345" t="s">
        <v>25</v>
      </c>
      <c r="I345" t="s">
        <v>26</v>
      </c>
      <c r="J345" t="s">
        <v>75</v>
      </c>
      <c r="K345" t="s">
        <v>76</v>
      </c>
      <c r="L345">
        <v>2110</v>
      </c>
      <c r="M345" t="s">
        <v>29</v>
      </c>
      <c r="N345" t="s">
        <v>121</v>
      </c>
      <c r="O345" t="s">
        <v>47</v>
      </c>
      <c r="P345" t="s">
        <v>122</v>
      </c>
      <c r="Q345" t="s">
        <v>123</v>
      </c>
      <c r="R345">
        <v>2592</v>
      </c>
      <c r="S345">
        <v>6</v>
      </c>
      <c r="T345">
        <v>0.2</v>
      </c>
      <c r="U345">
        <v>181.21</v>
      </c>
    </row>
    <row r="346" spans="1:21" x14ac:dyDescent="0.35">
      <c r="A346">
        <v>345</v>
      </c>
      <c r="B346" t="s">
        <v>346</v>
      </c>
      <c r="C346" s="1">
        <v>46110</v>
      </c>
      <c r="D346" s="1">
        <v>46113</v>
      </c>
      <c r="E346" t="s">
        <v>94</v>
      </c>
      <c r="F346" t="s">
        <v>241</v>
      </c>
      <c r="G346" t="s">
        <v>242</v>
      </c>
      <c r="H346" t="s">
        <v>25</v>
      </c>
      <c r="I346" t="s">
        <v>26</v>
      </c>
      <c r="J346" t="s">
        <v>229</v>
      </c>
      <c r="K346" t="s">
        <v>230</v>
      </c>
      <c r="L346">
        <v>30318</v>
      </c>
      <c r="M346" t="s">
        <v>65</v>
      </c>
      <c r="N346" t="s">
        <v>69</v>
      </c>
      <c r="O346" t="s">
        <v>43</v>
      </c>
      <c r="P346" t="s">
        <v>70</v>
      </c>
      <c r="Q346" t="s">
        <v>71</v>
      </c>
      <c r="R346">
        <v>270</v>
      </c>
      <c r="S346">
        <v>6</v>
      </c>
      <c r="T346">
        <v>0</v>
      </c>
      <c r="U346">
        <v>38.82</v>
      </c>
    </row>
    <row r="347" spans="1:21" x14ac:dyDescent="0.35">
      <c r="A347">
        <v>346</v>
      </c>
      <c r="B347" t="s">
        <v>346</v>
      </c>
      <c r="C347" s="1">
        <v>46110</v>
      </c>
      <c r="D347" s="1">
        <v>46113</v>
      </c>
      <c r="E347" t="s">
        <v>35</v>
      </c>
      <c r="F347" t="s">
        <v>241</v>
      </c>
      <c r="G347" t="s">
        <v>242</v>
      </c>
      <c r="H347" t="s">
        <v>25</v>
      </c>
      <c r="I347" t="s">
        <v>26</v>
      </c>
      <c r="J347" t="s">
        <v>229</v>
      </c>
      <c r="K347" t="s">
        <v>230</v>
      </c>
      <c r="L347">
        <v>30318</v>
      </c>
      <c r="M347" t="s">
        <v>65</v>
      </c>
      <c r="N347" t="s">
        <v>103</v>
      </c>
      <c r="O347" t="s">
        <v>47</v>
      </c>
      <c r="P347" t="s">
        <v>104</v>
      </c>
      <c r="Q347" t="s">
        <v>105</v>
      </c>
      <c r="R347">
        <v>2403</v>
      </c>
      <c r="S347">
        <v>3</v>
      </c>
      <c r="T347">
        <v>0.1</v>
      </c>
      <c r="U347">
        <v>335.13</v>
      </c>
    </row>
    <row r="348" spans="1:21" x14ac:dyDescent="0.35">
      <c r="A348">
        <v>347</v>
      </c>
      <c r="B348" t="s">
        <v>347</v>
      </c>
      <c r="C348" s="1">
        <v>45441</v>
      </c>
      <c r="D348" s="1">
        <v>45445</v>
      </c>
      <c r="E348" t="s">
        <v>50</v>
      </c>
      <c r="F348" t="s">
        <v>157</v>
      </c>
      <c r="G348" t="s">
        <v>158</v>
      </c>
      <c r="H348" t="s">
        <v>62</v>
      </c>
      <c r="I348" t="s">
        <v>26</v>
      </c>
      <c r="J348" t="s">
        <v>89</v>
      </c>
      <c r="K348" t="s">
        <v>90</v>
      </c>
      <c r="L348">
        <v>90036</v>
      </c>
      <c r="M348" t="s">
        <v>85</v>
      </c>
      <c r="N348" t="s">
        <v>109</v>
      </c>
      <c r="O348" t="s">
        <v>31</v>
      </c>
      <c r="P348" t="s">
        <v>110</v>
      </c>
      <c r="Q348" t="s">
        <v>111</v>
      </c>
      <c r="R348">
        <v>37.5</v>
      </c>
      <c r="S348">
        <v>3</v>
      </c>
      <c r="T348">
        <v>0.5</v>
      </c>
      <c r="U348">
        <v>-2.5099999999999998</v>
      </c>
    </row>
    <row r="349" spans="1:21" x14ac:dyDescent="0.35">
      <c r="A349">
        <v>348</v>
      </c>
      <c r="B349" t="s">
        <v>348</v>
      </c>
      <c r="C349" s="1">
        <v>45788</v>
      </c>
      <c r="D349" s="1">
        <v>45789</v>
      </c>
      <c r="E349" t="s">
        <v>50</v>
      </c>
      <c r="F349" t="s">
        <v>349</v>
      </c>
      <c r="G349" t="s">
        <v>82</v>
      </c>
      <c r="H349" t="s">
        <v>62</v>
      </c>
      <c r="I349" t="s">
        <v>26</v>
      </c>
      <c r="J349" t="s">
        <v>75</v>
      </c>
      <c r="K349" t="s">
        <v>76</v>
      </c>
      <c r="L349">
        <v>2110</v>
      </c>
      <c r="M349" t="s">
        <v>29</v>
      </c>
      <c r="N349" t="s">
        <v>103</v>
      </c>
      <c r="O349" t="s">
        <v>47</v>
      </c>
      <c r="P349" t="s">
        <v>104</v>
      </c>
      <c r="Q349" t="s">
        <v>105</v>
      </c>
      <c r="R349">
        <v>3560</v>
      </c>
      <c r="S349">
        <v>4</v>
      </c>
      <c r="T349">
        <v>0</v>
      </c>
      <c r="U349">
        <v>710.69</v>
      </c>
    </row>
    <row r="350" spans="1:21" x14ac:dyDescent="0.35">
      <c r="A350">
        <v>349</v>
      </c>
      <c r="B350" t="s">
        <v>350</v>
      </c>
      <c r="C350" s="1">
        <v>45502</v>
      </c>
      <c r="D350" s="1">
        <v>45504</v>
      </c>
      <c r="E350" t="s">
        <v>35</v>
      </c>
      <c r="F350" t="s">
        <v>250</v>
      </c>
      <c r="G350" t="s">
        <v>251</v>
      </c>
      <c r="H350" t="s">
        <v>38</v>
      </c>
      <c r="I350" t="s">
        <v>26</v>
      </c>
      <c r="J350" t="s">
        <v>229</v>
      </c>
      <c r="K350" t="s">
        <v>230</v>
      </c>
      <c r="L350">
        <v>30318</v>
      </c>
      <c r="M350" t="s">
        <v>65</v>
      </c>
      <c r="N350" t="s">
        <v>46</v>
      </c>
      <c r="O350" t="s">
        <v>47</v>
      </c>
      <c r="P350" t="s">
        <v>48</v>
      </c>
      <c r="Q350" t="s">
        <v>49</v>
      </c>
      <c r="R350">
        <v>179.2</v>
      </c>
      <c r="S350">
        <v>7</v>
      </c>
      <c r="T350">
        <v>0.2</v>
      </c>
      <c r="U350">
        <v>19.87</v>
      </c>
    </row>
    <row r="351" spans="1:21" x14ac:dyDescent="0.35">
      <c r="A351">
        <v>350</v>
      </c>
      <c r="B351" t="s">
        <v>350</v>
      </c>
      <c r="C351" s="1">
        <v>45502</v>
      </c>
      <c r="D351" s="1">
        <v>45504</v>
      </c>
      <c r="E351" t="s">
        <v>22</v>
      </c>
      <c r="F351" t="s">
        <v>250</v>
      </c>
      <c r="G351" t="s">
        <v>251</v>
      </c>
      <c r="H351" t="s">
        <v>38</v>
      </c>
      <c r="I351" t="s">
        <v>26</v>
      </c>
      <c r="J351" t="s">
        <v>229</v>
      </c>
      <c r="K351" t="s">
        <v>230</v>
      </c>
      <c r="L351">
        <v>30318</v>
      </c>
      <c r="M351" t="s">
        <v>65</v>
      </c>
      <c r="N351" t="s">
        <v>125</v>
      </c>
      <c r="O351" t="s">
        <v>43</v>
      </c>
      <c r="P351" t="s">
        <v>126</v>
      </c>
      <c r="Q351" t="s">
        <v>127</v>
      </c>
      <c r="R351">
        <v>96</v>
      </c>
      <c r="S351">
        <v>1</v>
      </c>
      <c r="T351">
        <v>0.2</v>
      </c>
      <c r="U351">
        <v>6.41</v>
      </c>
    </row>
    <row r="352" spans="1:21" x14ac:dyDescent="0.35">
      <c r="A352">
        <v>351</v>
      </c>
      <c r="B352" t="s">
        <v>351</v>
      </c>
      <c r="C352" s="1">
        <v>45937</v>
      </c>
      <c r="D352" s="1">
        <v>45940</v>
      </c>
      <c r="E352" t="s">
        <v>22</v>
      </c>
      <c r="F352" t="s">
        <v>232</v>
      </c>
      <c r="G352" t="s">
        <v>56</v>
      </c>
      <c r="H352" t="s">
        <v>62</v>
      </c>
      <c r="I352" t="s">
        <v>26</v>
      </c>
      <c r="J352" t="s">
        <v>119</v>
      </c>
      <c r="K352" t="s">
        <v>120</v>
      </c>
      <c r="L352">
        <v>97206</v>
      </c>
      <c r="M352" t="s">
        <v>85</v>
      </c>
      <c r="N352" t="s">
        <v>103</v>
      </c>
      <c r="O352" t="s">
        <v>47</v>
      </c>
      <c r="P352" t="s">
        <v>104</v>
      </c>
      <c r="Q352" t="s">
        <v>105</v>
      </c>
      <c r="R352">
        <v>2136</v>
      </c>
      <c r="S352">
        <v>3</v>
      </c>
      <c r="T352">
        <v>0.2</v>
      </c>
      <c r="U352">
        <v>172.35</v>
      </c>
    </row>
    <row r="353" spans="1:21" x14ac:dyDescent="0.35">
      <c r="A353">
        <v>352</v>
      </c>
      <c r="B353" t="s">
        <v>351</v>
      </c>
      <c r="C353" s="1">
        <v>45937</v>
      </c>
      <c r="D353" s="1">
        <v>45940</v>
      </c>
      <c r="E353" t="s">
        <v>94</v>
      </c>
      <c r="F353" t="s">
        <v>232</v>
      </c>
      <c r="G353" t="s">
        <v>56</v>
      </c>
      <c r="H353" t="s">
        <v>62</v>
      </c>
      <c r="I353" t="s">
        <v>26</v>
      </c>
      <c r="J353" t="s">
        <v>119</v>
      </c>
      <c r="K353" t="s">
        <v>120</v>
      </c>
      <c r="L353">
        <v>97206</v>
      </c>
      <c r="M353" t="s">
        <v>85</v>
      </c>
      <c r="N353" t="s">
        <v>51</v>
      </c>
      <c r="O353" t="s">
        <v>43</v>
      </c>
      <c r="P353" t="s">
        <v>52</v>
      </c>
      <c r="Q353" t="s">
        <v>53</v>
      </c>
      <c r="R353">
        <v>43.2</v>
      </c>
      <c r="S353">
        <v>6</v>
      </c>
      <c r="T353">
        <v>0.1</v>
      </c>
      <c r="U353">
        <v>7.12</v>
      </c>
    </row>
    <row r="354" spans="1:21" x14ac:dyDescent="0.35">
      <c r="A354">
        <v>353</v>
      </c>
      <c r="B354" t="s">
        <v>352</v>
      </c>
      <c r="C354" s="1">
        <v>45941</v>
      </c>
      <c r="D354" s="1">
        <v>45943</v>
      </c>
      <c r="E354" t="s">
        <v>50</v>
      </c>
      <c r="F354" t="s">
        <v>36</v>
      </c>
      <c r="G354" t="s">
        <v>37</v>
      </c>
      <c r="H354" t="s">
        <v>38</v>
      </c>
      <c r="I354" t="s">
        <v>26</v>
      </c>
      <c r="J354" t="s">
        <v>39</v>
      </c>
      <c r="K354" t="s">
        <v>40</v>
      </c>
      <c r="L354">
        <v>53711</v>
      </c>
      <c r="M354" t="s">
        <v>41</v>
      </c>
      <c r="N354" t="s">
        <v>77</v>
      </c>
      <c r="O354" t="s">
        <v>31</v>
      </c>
      <c r="P354" t="s">
        <v>78</v>
      </c>
      <c r="Q354" t="s">
        <v>79</v>
      </c>
      <c r="R354">
        <v>840</v>
      </c>
      <c r="S354">
        <v>2</v>
      </c>
      <c r="T354">
        <v>0</v>
      </c>
      <c r="U354">
        <v>-40.53</v>
      </c>
    </row>
    <row r="355" spans="1:21" x14ac:dyDescent="0.35">
      <c r="A355">
        <v>354</v>
      </c>
      <c r="B355" t="s">
        <v>352</v>
      </c>
      <c r="C355" s="1">
        <v>45941</v>
      </c>
      <c r="D355" s="1">
        <v>45943</v>
      </c>
      <c r="E355" t="s">
        <v>22</v>
      </c>
      <c r="F355" t="s">
        <v>36</v>
      </c>
      <c r="G355" t="s">
        <v>37</v>
      </c>
      <c r="H355" t="s">
        <v>38</v>
      </c>
      <c r="I355" t="s">
        <v>26</v>
      </c>
      <c r="J355" t="s">
        <v>39</v>
      </c>
      <c r="K355" t="s">
        <v>40</v>
      </c>
      <c r="L355">
        <v>53711</v>
      </c>
      <c r="M355" t="s">
        <v>41</v>
      </c>
      <c r="N355" t="s">
        <v>69</v>
      </c>
      <c r="O355" t="s">
        <v>43</v>
      </c>
      <c r="P355" t="s">
        <v>70</v>
      </c>
      <c r="Q355" t="s">
        <v>71</v>
      </c>
      <c r="R355">
        <v>45</v>
      </c>
      <c r="S355">
        <v>1</v>
      </c>
      <c r="T355">
        <v>0</v>
      </c>
      <c r="U355">
        <v>8.5299999999999994</v>
      </c>
    </row>
    <row r="356" spans="1:21" x14ac:dyDescent="0.35">
      <c r="A356">
        <v>355</v>
      </c>
      <c r="B356" t="s">
        <v>352</v>
      </c>
      <c r="C356" s="1">
        <v>45941</v>
      </c>
      <c r="D356" s="1">
        <v>45943</v>
      </c>
      <c r="E356" t="s">
        <v>35</v>
      </c>
      <c r="F356" t="s">
        <v>36</v>
      </c>
      <c r="G356" t="s">
        <v>37</v>
      </c>
      <c r="H356" t="s">
        <v>38</v>
      </c>
      <c r="I356" t="s">
        <v>26</v>
      </c>
      <c r="J356" t="s">
        <v>39</v>
      </c>
      <c r="K356" t="s">
        <v>40</v>
      </c>
      <c r="L356">
        <v>53711</v>
      </c>
      <c r="M356" t="s">
        <v>41</v>
      </c>
      <c r="N356" t="s">
        <v>66</v>
      </c>
      <c r="O356" t="s">
        <v>47</v>
      </c>
      <c r="P356" t="s">
        <v>67</v>
      </c>
      <c r="Q356" t="s">
        <v>68</v>
      </c>
      <c r="R356">
        <v>660</v>
      </c>
      <c r="S356">
        <v>4</v>
      </c>
      <c r="T356">
        <v>0.5</v>
      </c>
      <c r="U356">
        <v>-86.35</v>
      </c>
    </row>
    <row r="357" spans="1:21" x14ac:dyDescent="0.35">
      <c r="A357">
        <v>356</v>
      </c>
      <c r="B357" t="s">
        <v>353</v>
      </c>
      <c r="C357" s="1">
        <v>46011</v>
      </c>
      <c r="D357" s="1">
        <v>46014</v>
      </c>
      <c r="E357" t="s">
        <v>94</v>
      </c>
      <c r="F357" t="s">
        <v>153</v>
      </c>
      <c r="G357" t="s">
        <v>154</v>
      </c>
      <c r="H357" t="s">
        <v>25</v>
      </c>
      <c r="I357" t="s">
        <v>26</v>
      </c>
      <c r="J357" t="s">
        <v>89</v>
      </c>
      <c r="K357" t="s">
        <v>90</v>
      </c>
      <c r="L357">
        <v>90036</v>
      </c>
      <c r="M357" t="s">
        <v>85</v>
      </c>
      <c r="N357" t="s">
        <v>95</v>
      </c>
      <c r="O357" t="s">
        <v>47</v>
      </c>
      <c r="P357" t="s">
        <v>48</v>
      </c>
      <c r="Q357" t="s">
        <v>96</v>
      </c>
      <c r="R357">
        <v>66</v>
      </c>
      <c r="S357">
        <v>3</v>
      </c>
      <c r="T357">
        <v>0</v>
      </c>
      <c r="U357">
        <v>19.489999999999998</v>
      </c>
    </row>
    <row r="358" spans="1:21" x14ac:dyDescent="0.35">
      <c r="A358">
        <v>357</v>
      </c>
      <c r="B358" t="s">
        <v>354</v>
      </c>
      <c r="C358" s="1">
        <v>45791</v>
      </c>
      <c r="D358" s="1">
        <v>45793</v>
      </c>
      <c r="E358" t="s">
        <v>50</v>
      </c>
      <c r="F358" t="s">
        <v>36</v>
      </c>
      <c r="G358" t="s">
        <v>37</v>
      </c>
      <c r="H358" t="s">
        <v>38</v>
      </c>
      <c r="I358" t="s">
        <v>26</v>
      </c>
      <c r="J358" t="s">
        <v>39</v>
      </c>
      <c r="K358" t="s">
        <v>40</v>
      </c>
      <c r="L358">
        <v>53711</v>
      </c>
      <c r="M358" t="s">
        <v>41</v>
      </c>
      <c r="N358" t="s">
        <v>109</v>
      </c>
      <c r="O358" t="s">
        <v>31</v>
      </c>
      <c r="P358" t="s">
        <v>110</v>
      </c>
      <c r="Q358" t="s">
        <v>111</v>
      </c>
      <c r="R358">
        <v>60</v>
      </c>
      <c r="S358">
        <v>3</v>
      </c>
      <c r="T358">
        <v>0.2</v>
      </c>
      <c r="U358">
        <v>11.23</v>
      </c>
    </row>
    <row r="359" spans="1:21" x14ac:dyDescent="0.35">
      <c r="A359">
        <v>358</v>
      </c>
      <c r="B359" t="s">
        <v>355</v>
      </c>
      <c r="C359" s="1">
        <v>45366</v>
      </c>
      <c r="D359" s="1">
        <v>45371</v>
      </c>
      <c r="E359" t="s">
        <v>94</v>
      </c>
      <c r="F359" t="s">
        <v>310</v>
      </c>
      <c r="G359" t="s">
        <v>191</v>
      </c>
      <c r="H359" t="s">
        <v>38</v>
      </c>
      <c r="I359" t="s">
        <v>26</v>
      </c>
      <c r="J359" t="s">
        <v>89</v>
      </c>
      <c r="K359" t="s">
        <v>90</v>
      </c>
      <c r="L359">
        <v>90036</v>
      </c>
      <c r="M359" t="s">
        <v>85</v>
      </c>
      <c r="N359" t="s">
        <v>66</v>
      </c>
      <c r="O359" t="s">
        <v>47</v>
      </c>
      <c r="P359" t="s">
        <v>67</v>
      </c>
      <c r="Q359" t="s">
        <v>68</v>
      </c>
      <c r="R359">
        <v>1584</v>
      </c>
      <c r="S359">
        <v>6</v>
      </c>
      <c r="T359">
        <v>0.2</v>
      </c>
      <c r="U359">
        <v>78.72</v>
      </c>
    </row>
    <row r="360" spans="1:21" x14ac:dyDescent="0.35">
      <c r="A360">
        <v>359</v>
      </c>
      <c r="B360" t="s">
        <v>355</v>
      </c>
      <c r="C360" s="1">
        <v>45366</v>
      </c>
      <c r="D360" s="1">
        <v>45371</v>
      </c>
      <c r="E360" t="s">
        <v>22</v>
      </c>
      <c r="F360" t="s">
        <v>310</v>
      </c>
      <c r="G360" t="s">
        <v>191</v>
      </c>
      <c r="H360" t="s">
        <v>38</v>
      </c>
      <c r="I360" t="s">
        <v>26</v>
      </c>
      <c r="J360" t="s">
        <v>89</v>
      </c>
      <c r="K360" t="s">
        <v>90</v>
      </c>
      <c r="L360">
        <v>90036</v>
      </c>
      <c r="M360" t="s">
        <v>85</v>
      </c>
      <c r="N360" t="s">
        <v>113</v>
      </c>
      <c r="O360" t="s">
        <v>43</v>
      </c>
      <c r="P360" t="s">
        <v>114</v>
      </c>
      <c r="Q360" t="s">
        <v>115</v>
      </c>
      <c r="R360">
        <v>46.2</v>
      </c>
      <c r="S360">
        <v>6</v>
      </c>
      <c r="T360">
        <v>0.3</v>
      </c>
      <c r="U360">
        <v>5.98</v>
      </c>
    </row>
    <row r="361" spans="1:21" x14ac:dyDescent="0.35">
      <c r="A361">
        <v>360</v>
      </c>
      <c r="B361" t="s">
        <v>355</v>
      </c>
      <c r="C361" s="1">
        <v>45366</v>
      </c>
      <c r="D361" s="1">
        <v>45371</v>
      </c>
      <c r="E361" t="s">
        <v>94</v>
      </c>
      <c r="F361" t="s">
        <v>310</v>
      </c>
      <c r="G361" t="s">
        <v>191</v>
      </c>
      <c r="H361" t="s">
        <v>38</v>
      </c>
      <c r="I361" t="s">
        <v>26</v>
      </c>
      <c r="J361" t="s">
        <v>89</v>
      </c>
      <c r="K361" t="s">
        <v>90</v>
      </c>
      <c r="L361">
        <v>90036</v>
      </c>
      <c r="M361" t="s">
        <v>85</v>
      </c>
      <c r="N361" t="s">
        <v>42</v>
      </c>
      <c r="O361" t="s">
        <v>43</v>
      </c>
      <c r="P361" t="s">
        <v>44</v>
      </c>
      <c r="Q361" t="s">
        <v>45</v>
      </c>
      <c r="R361">
        <v>19.600000000000001</v>
      </c>
      <c r="S361">
        <v>2</v>
      </c>
      <c r="T361">
        <v>0.3</v>
      </c>
      <c r="U361">
        <v>3.79</v>
      </c>
    </row>
    <row r="362" spans="1:21" x14ac:dyDescent="0.35">
      <c r="A362">
        <v>361</v>
      </c>
      <c r="B362" t="s">
        <v>356</v>
      </c>
      <c r="C362" s="1">
        <v>45976</v>
      </c>
      <c r="D362" s="1">
        <v>45978</v>
      </c>
      <c r="E362" t="s">
        <v>50</v>
      </c>
      <c r="F362" t="s">
        <v>224</v>
      </c>
      <c r="G362" t="s">
        <v>143</v>
      </c>
      <c r="H362" t="s">
        <v>62</v>
      </c>
      <c r="I362" t="s">
        <v>26</v>
      </c>
      <c r="J362" t="s">
        <v>131</v>
      </c>
      <c r="K362" t="s">
        <v>90</v>
      </c>
      <c r="L362">
        <v>94122</v>
      </c>
      <c r="M362" t="s">
        <v>85</v>
      </c>
      <c r="N362" t="s">
        <v>121</v>
      </c>
      <c r="O362" t="s">
        <v>47</v>
      </c>
      <c r="P362" t="s">
        <v>122</v>
      </c>
      <c r="Q362" t="s">
        <v>123</v>
      </c>
      <c r="R362">
        <v>2646</v>
      </c>
      <c r="S362">
        <v>7</v>
      </c>
      <c r="T362">
        <v>0.3</v>
      </c>
      <c r="U362">
        <v>24.62</v>
      </c>
    </row>
    <row r="363" spans="1:21" x14ac:dyDescent="0.35">
      <c r="A363">
        <v>362</v>
      </c>
      <c r="B363" t="s">
        <v>356</v>
      </c>
      <c r="C363" s="1">
        <v>45976</v>
      </c>
      <c r="D363" s="1">
        <v>45978</v>
      </c>
      <c r="E363" t="s">
        <v>22</v>
      </c>
      <c r="F363" t="s">
        <v>224</v>
      </c>
      <c r="G363" t="s">
        <v>143</v>
      </c>
      <c r="H363" t="s">
        <v>62</v>
      </c>
      <c r="I363" t="s">
        <v>26</v>
      </c>
      <c r="J363" t="s">
        <v>131</v>
      </c>
      <c r="K363" t="s">
        <v>90</v>
      </c>
      <c r="L363">
        <v>94122</v>
      </c>
      <c r="M363" t="s">
        <v>85</v>
      </c>
      <c r="N363" t="s">
        <v>30</v>
      </c>
      <c r="O363" t="s">
        <v>31</v>
      </c>
      <c r="P363" t="s">
        <v>32</v>
      </c>
      <c r="Q363" t="s">
        <v>33</v>
      </c>
      <c r="R363">
        <v>1150</v>
      </c>
      <c r="S363">
        <v>5</v>
      </c>
      <c r="T363">
        <v>0</v>
      </c>
      <c r="U363">
        <v>137.88999999999999</v>
      </c>
    </row>
    <row r="364" spans="1:21" x14ac:dyDescent="0.35">
      <c r="A364">
        <v>363</v>
      </c>
      <c r="B364" t="s">
        <v>357</v>
      </c>
      <c r="C364" s="1">
        <v>45762</v>
      </c>
      <c r="D364" s="1">
        <v>45767</v>
      </c>
      <c r="E364" t="s">
        <v>94</v>
      </c>
      <c r="F364" t="s">
        <v>283</v>
      </c>
      <c r="G364" t="s">
        <v>204</v>
      </c>
      <c r="H364" t="s">
        <v>62</v>
      </c>
      <c r="I364" t="s">
        <v>26</v>
      </c>
      <c r="J364" t="s">
        <v>135</v>
      </c>
      <c r="K364" t="s">
        <v>136</v>
      </c>
      <c r="L364">
        <v>19140</v>
      </c>
      <c r="M364" t="s">
        <v>29</v>
      </c>
      <c r="N364" t="s">
        <v>97</v>
      </c>
      <c r="O364" t="s">
        <v>31</v>
      </c>
      <c r="P364" t="s">
        <v>98</v>
      </c>
      <c r="Q364" t="s">
        <v>99</v>
      </c>
      <c r="R364">
        <v>1638</v>
      </c>
      <c r="S364">
        <v>7</v>
      </c>
      <c r="T364">
        <v>0.1</v>
      </c>
      <c r="U364">
        <v>67.12</v>
      </c>
    </row>
    <row r="365" spans="1:21" x14ac:dyDescent="0.35">
      <c r="A365">
        <v>364</v>
      </c>
      <c r="B365" t="s">
        <v>357</v>
      </c>
      <c r="C365" s="1">
        <v>45762</v>
      </c>
      <c r="D365" s="1">
        <v>45767</v>
      </c>
      <c r="E365" t="s">
        <v>22</v>
      </c>
      <c r="F365" t="s">
        <v>283</v>
      </c>
      <c r="G365" t="s">
        <v>204</v>
      </c>
      <c r="H365" t="s">
        <v>62</v>
      </c>
      <c r="I365" t="s">
        <v>26</v>
      </c>
      <c r="J365" t="s">
        <v>135</v>
      </c>
      <c r="K365" t="s">
        <v>136</v>
      </c>
      <c r="L365">
        <v>19140</v>
      </c>
      <c r="M365" t="s">
        <v>29</v>
      </c>
      <c r="N365" t="s">
        <v>121</v>
      </c>
      <c r="O365" t="s">
        <v>47</v>
      </c>
      <c r="P365" t="s">
        <v>122</v>
      </c>
      <c r="Q365" t="s">
        <v>123</v>
      </c>
      <c r="R365">
        <v>1620</v>
      </c>
      <c r="S365">
        <v>3</v>
      </c>
      <c r="T365">
        <v>0</v>
      </c>
      <c r="U365">
        <v>309.04000000000002</v>
      </c>
    </row>
    <row r="366" spans="1:21" x14ac:dyDescent="0.35">
      <c r="A366">
        <v>365</v>
      </c>
      <c r="B366" t="s">
        <v>357</v>
      </c>
      <c r="C366" s="1">
        <v>45762</v>
      </c>
      <c r="D366" s="1">
        <v>45767</v>
      </c>
      <c r="E366" t="s">
        <v>50</v>
      </c>
      <c r="F366" t="s">
        <v>283</v>
      </c>
      <c r="G366" t="s">
        <v>204</v>
      </c>
      <c r="H366" t="s">
        <v>62</v>
      </c>
      <c r="I366" t="s">
        <v>26</v>
      </c>
      <c r="J366" t="s">
        <v>135</v>
      </c>
      <c r="K366" t="s">
        <v>136</v>
      </c>
      <c r="L366">
        <v>19140</v>
      </c>
      <c r="M366" t="s">
        <v>29</v>
      </c>
      <c r="N366" t="s">
        <v>77</v>
      </c>
      <c r="O366" t="s">
        <v>31</v>
      </c>
      <c r="P366" t="s">
        <v>78</v>
      </c>
      <c r="Q366" t="s">
        <v>79</v>
      </c>
      <c r="R366">
        <v>378</v>
      </c>
      <c r="S366">
        <v>1</v>
      </c>
      <c r="T366">
        <v>0.1</v>
      </c>
      <c r="U366">
        <v>-40.89</v>
      </c>
    </row>
    <row r="367" spans="1:21" x14ac:dyDescent="0.35">
      <c r="A367">
        <v>366</v>
      </c>
      <c r="B367" t="s">
        <v>357</v>
      </c>
      <c r="C367" s="1">
        <v>45762</v>
      </c>
      <c r="D367" s="1">
        <v>45767</v>
      </c>
      <c r="E367" t="s">
        <v>94</v>
      </c>
      <c r="F367" t="s">
        <v>283</v>
      </c>
      <c r="G367" t="s">
        <v>204</v>
      </c>
      <c r="H367" t="s">
        <v>62</v>
      </c>
      <c r="I367" t="s">
        <v>26</v>
      </c>
      <c r="J367" t="s">
        <v>135</v>
      </c>
      <c r="K367" t="s">
        <v>136</v>
      </c>
      <c r="L367">
        <v>19140</v>
      </c>
      <c r="M367" t="s">
        <v>29</v>
      </c>
      <c r="N367" t="s">
        <v>125</v>
      </c>
      <c r="O367" t="s">
        <v>43</v>
      </c>
      <c r="P367" t="s">
        <v>126</v>
      </c>
      <c r="Q367" t="s">
        <v>127</v>
      </c>
      <c r="R367">
        <v>840</v>
      </c>
      <c r="S367">
        <v>7</v>
      </c>
      <c r="T367">
        <v>0</v>
      </c>
      <c r="U367">
        <v>151.16</v>
      </c>
    </row>
    <row r="368" spans="1:21" x14ac:dyDescent="0.35">
      <c r="A368">
        <v>367</v>
      </c>
      <c r="B368" t="s">
        <v>358</v>
      </c>
      <c r="C368" s="1">
        <v>45324</v>
      </c>
      <c r="D368" s="1">
        <v>45328</v>
      </c>
      <c r="E368" t="s">
        <v>35</v>
      </c>
      <c r="F368" t="s">
        <v>310</v>
      </c>
      <c r="G368" t="s">
        <v>191</v>
      </c>
      <c r="H368" t="s">
        <v>38</v>
      </c>
      <c r="I368" t="s">
        <v>26</v>
      </c>
      <c r="J368" t="s">
        <v>89</v>
      </c>
      <c r="K368" t="s">
        <v>90</v>
      </c>
      <c r="L368">
        <v>90036</v>
      </c>
      <c r="M368" t="s">
        <v>85</v>
      </c>
      <c r="N368" t="s">
        <v>113</v>
      </c>
      <c r="O368" t="s">
        <v>43</v>
      </c>
      <c r="P368" t="s">
        <v>114</v>
      </c>
      <c r="Q368" t="s">
        <v>115</v>
      </c>
      <c r="R368">
        <v>77</v>
      </c>
      <c r="S368">
        <v>7</v>
      </c>
      <c r="T368">
        <v>0</v>
      </c>
      <c r="U368">
        <v>28.26</v>
      </c>
    </row>
    <row r="369" spans="1:21" x14ac:dyDescent="0.35">
      <c r="A369">
        <v>368</v>
      </c>
      <c r="B369" t="s">
        <v>358</v>
      </c>
      <c r="C369" s="1">
        <v>45324</v>
      </c>
      <c r="D369" s="1">
        <v>45328</v>
      </c>
      <c r="E369" t="s">
        <v>22</v>
      </c>
      <c r="F369" t="s">
        <v>310</v>
      </c>
      <c r="G369" t="s">
        <v>191</v>
      </c>
      <c r="H369" t="s">
        <v>38</v>
      </c>
      <c r="I369" t="s">
        <v>26</v>
      </c>
      <c r="J369" t="s">
        <v>89</v>
      </c>
      <c r="K369" t="s">
        <v>90</v>
      </c>
      <c r="L369">
        <v>90036</v>
      </c>
      <c r="M369" t="s">
        <v>85</v>
      </c>
      <c r="N369" t="s">
        <v>125</v>
      </c>
      <c r="O369" t="s">
        <v>43</v>
      </c>
      <c r="P369" t="s">
        <v>126</v>
      </c>
      <c r="Q369" t="s">
        <v>127</v>
      </c>
      <c r="R369">
        <v>240</v>
      </c>
      <c r="S369">
        <v>2</v>
      </c>
      <c r="T369">
        <v>0</v>
      </c>
      <c r="U369">
        <v>44.27</v>
      </c>
    </row>
    <row r="370" spans="1:21" x14ac:dyDescent="0.35">
      <c r="A370">
        <v>369</v>
      </c>
      <c r="B370" t="s">
        <v>358</v>
      </c>
      <c r="C370" s="1">
        <v>45324</v>
      </c>
      <c r="D370" s="1">
        <v>45328</v>
      </c>
      <c r="E370" t="s">
        <v>22</v>
      </c>
      <c r="F370" t="s">
        <v>310</v>
      </c>
      <c r="G370" t="s">
        <v>191</v>
      </c>
      <c r="H370" t="s">
        <v>38</v>
      </c>
      <c r="I370" t="s">
        <v>26</v>
      </c>
      <c r="J370" t="s">
        <v>89</v>
      </c>
      <c r="K370" t="s">
        <v>90</v>
      </c>
      <c r="L370">
        <v>90036</v>
      </c>
      <c r="M370" t="s">
        <v>85</v>
      </c>
      <c r="N370" t="s">
        <v>51</v>
      </c>
      <c r="O370" t="s">
        <v>43</v>
      </c>
      <c r="P370" t="s">
        <v>52</v>
      </c>
      <c r="Q370" t="s">
        <v>53</v>
      </c>
      <c r="R370">
        <v>21.6</v>
      </c>
      <c r="S370">
        <v>3</v>
      </c>
      <c r="T370">
        <v>0.1</v>
      </c>
      <c r="U370">
        <v>2.4500000000000002</v>
      </c>
    </row>
    <row r="371" spans="1:21" x14ac:dyDescent="0.35">
      <c r="A371">
        <v>370</v>
      </c>
      <c r="B371" t="s">
        <v>359</v>
      </c>
      <c r="C371" s="1">
        <v>45859</v>
      </c>
      <c r="D371" s="1">
        <v>45860</v>
      </c>
      <c r="E371" t="s">
        <v>50</v>
      </c>
      <c r="F371" t="s">
        <v>36</v>
      </c>
      <c r="G371" t="s">
        <v>37</v>
      </c>
      <c r="H371" t="s">
        <v>38</v>
      </c>
      <c r="I371" t="s">
        <v>26</v>
      </c>
      <c r="J371" t="s">
        <v>39</v>
      </c>
      <c r="K371" t="s">
        <v>40</v>
      </c>
      <c r="L371">
        <v>53711</v>
      </c>
      <c r="M371" t="s">
        <v>41</v>
      </c>
      <c r="N371" t="s">
        <v>46</v>
      </c>
      <c r="O371" t="s">
        <v>47</v>
      </c>
      <c r="P371" t="s">
        <v>48</v>
      </c>
      <c r="Q371" t="s">
        <v>49</v>
      </c>
      <c r="R371">
        <v>128</v>
      </c>
      <c r="S371">
        <v>4</v>
      </c>
      <c r="T371">
        <v>0</v>
      </c>
      <c r="U371">
        <v>27.43</v>
      </c>
    </row>
    <row r="372" spans="1:21" x14ac:dyDescent="0.35">
      <c r="A372">
        <v>371</v>
      </c>
      <c r="B372" t="s">
        <v>359</v>
      </c>
      <c r="C372" s="1">
        <v>45859</v>
      </c>
      <c r="D372" s="1">
        <v>45860</v>
      </c>
      <c r="E372" t="s">
        <v>50</v>
      </c>
      <c r="F372" t="s">
        <v>36</v>
      </c>
      <c r="G372" t="s">
        <v>37</v>
      </c>
      <c r="H372" t="s">
        <v>38</v>
      </c>
      <c r="I372" t="s">
        <v>26</v>
      </c>
      <c r="J372" t="s">
        <v>39</v>
      </c>
      <c r="K372" t="s">
        <v>40</v>
      </c>
      <c r="L372">
        <v>53711</v>
      </c>
      <c r="M372" t="s">
        <v>41</v>
      </c>
      <c r="N372" t="s">
        <v>125</v>
      </c>
      <c r="O372" t="s">
        <v>43</v>
      </c>
      <c r="P372" t="s">
        <v>126</v>
      </c>
      <c r="Q372" t="s">
        <v>127</v>
      </c>
      <c r="R372">
        <v>420</v>
      </c>
      <c r="S372">
        <v>7</v>
      </c>
      <c r="T372">
        <v>0.5</v>
      </c>
      <c r="U372">
        <v>-49</v>
      </c>
    </row>
    <row r="373" spans="1:21" x14ac:dyDescent="0.35">
      <c r="A373">
        <v>372</v>
      </c>
      <c r="B373" t="s">
        <v>360</v>
      </c>
      <c r="C373" s="1">
        <v>45981</v>
      </c>
      <c r="D373" s="1">
        <v>45982</v>
      </c>
      <c r="E373" t="s">
        <v>35</v>
      </c>
      <c r="F373" t="s">
        <v>361</v>
      </c>
      <c r="G373" t="s">
        <v>362</v>
      </c>
      <c r="H373" t="s">
        <v>38</v>
      </c>
      <c r="I373" t="s">
        <v>26</v>
      </c>
      <c r="J373" t="s">
        <v>162</v>
      </c>
      <c r="K373" t="s">
        <v>163</v>
      </c>
      <c r="L373">
        <v>28205</v>
      </c>
      <c r="M373" t="s">
        <v>65</v>
      </c>
      <c r="N373" t="s">
        <v>125</v>
      </c>
      <c r="O373" t="s">
        <v>43</v>
      </c>
      <c r="P373" t="s">
        <v>126</v>
      </c>
      <c r="Q373" t="s">
        <v>127</v>
      </c>
      <c r="R373">
        <v>720</v>
      </c>
      <c r="S373">
        <v>6</v>
      </c>
      <c r="T373">
        <v>0</v>
      </c>
      <c r="U373">
        <v>130.66</v>
      </c>
    </row>
    <row r="374" spans="1:21" x14ac:dyDescent="0.35">
      <c r="A374">
        <v>373</v>
      </c>
      <c r="B374" t="s">
        <v>360</v>
      </c>
      <c r="C374" s="1">
        <v>45981</v>
      </c>
      <c r="D374" s="1">
        <v>45982</v>
      </c>
      <c r="E374" t="s">
        <v>94</v>
      </c>
      <c r="F374" t="s">
        <v>361</v>
      </c>
      <c r="G374" t="s">
        <v>362</v>
      </c>
      <c r="H374" t="s">
        <v>38</v>
      </c>
      <c r="I374" t="s">
        <v>26</v>
      </c>
      <c r="J374" t="s">
        <v>162</v>
      </c>
      <c r="K374" t="s">
        <v>163</v>
      </c>
      <c r="L374">
        <v>28205</v>
      </c>
      <c r="M374" t="s">
        <v>65</v>
      </c>
      <c r="N374" t="s">
        <v>46</v>
      </c>
      <c r="O374" t="s">
        <v>47</v>
      </c>
      <c r="P374" t="s">
        <v>48</v>
      </c>
      <c r="Q374" t="s">
        <v>49</v>
      </c>
      <c r="R374">
        <v>67.2</v>
      </c>
      <c r="S374">
        <v>3</v>
      </c>
      <c r="T374">
        <v>0.3</v>
      </c>
      <c r="U374">
        <v>2.73</v>
      </c>
    </row>
    <row r="375" spans="1:21" x14ac:dyDescent="0.35">
      <c r="A375">
        <v>374</v>
      </c>
      <c r="B375" t="s">
        <v>363</v>
      </c>
      <c r="C375" s="1">
        <v>46032</v>
      </c>
      <c r="D375" s="1">
        <v>46034</v>
      </c>
      <c r="E375" t="s">
        <v>22</v>
      </c>
      <c r="F375" t="s">
        <v>172</v>
      </c>
      <c r="G375" t="s">
        <v>118</v>
      </c>
      <c r="H375" t="s">
        <v>38</v>
      </c>
      <c r="I375" t="s">
        <v>26</v>
      </c>
      <c r="J375" t="s">
        <v>173</v>
      </c>
      <c r="K375" t="s">
        <v>174</v>
      </c>
      <c r="L375">
        <v>77095</v>
      </c>
      <c r="M375" t="s">
        <v>41</v>
      </c>
      <c r="N375" t="s">
        <v>77</v>
      </c>
      <c r="O375" t="s">
        <v>31</v>
      </c>
      <c r="P375" t="s">
        <v>78</v>
      </c>
      <c r="Q375" t="s">
        <v>79</v>
      </c>
      <c r="R375">
        <v>420</v>
      </c>
      <c r="S375">
        <v>1</v>
      </c>
      <c r="T375">
        <v>0</v>
      </c>
      <c r="U375">
        <v>-21.24</v>
      </c>
    </row>
    <row r="376" spans="1:21" x14ac:dyDescent="0.35">
      <c r="A376">
        <v>375</v>
      </c>
      <c r="B376" t="s">
        <v>363</v>
      </c>
      <c r="C376" s="1">
        <v>46032</v>
      </c>
      <c r="D376" s="1">
        <v>46034</v>
      </c>
      <c r="E376" t="s">
        <v>50</v>
      </c>
      <c r="F376" t="s">
        <v>172</v>
      </c>
      <c r="G376" t="s">
        <v>118</v>
      </c>
      <c r="H376" t="s">
        <v>38</v>
      </c>
      <c r="I376" t="s">
        <v>26</v>
      </c>
      <c r="J376" t="s">
        <v>173</v>
      </c>
      <c r="K376" t="s">
        <v>174</v>
      </c>
      <c r="L376">
        <v>77095</v>
      </c>
      <c r="M376" t="s">
        <v>41</v>
      </c>
      <c r="N376" t="s">
        <v>125</v>
      </c>
      <c r="O376" t="s">
        <v>43</v>
      </c>
      <c r="P376" t="s">
        <v>126</v>
      </c>
      <c r="Q376" t="s">
        <v>127</v>
      </c>
      <c r="R376">
        <v>840</v>
      </c>
      <c r="S376">
        <v>7</v>
      </c>
      <c r="T376">
        <v>0</v>
      </c>
      <c r="U376">
        <v>150.74</v>
      </c>
    </row>
    <row r="377" spans="1:21" x14ac:dyDescent="0.35">
      <c r="A377">
        <v>376</v>
      </c>
      <c r="B377" t="s">
        <v>363</v>
      </c>
      <c r="C377" s="1">
        <v>46032</v>
      </c>
      <c r="D377" s="1">
        <v>46034</v>
      </c>
      <c r="E377" t="s">
        <v>35</v>
      </c>
      <c r="F377" t="s">
        <v>172</v>
      </c>
      <c r="G377" t="s">
        <v>118</v>
      </c>
      <c r="H377" t="s">
        <v>38</v>
      </c>
      <c r="I377" t="s">
        <v>26</v>
      </c>
      <c r="J377" t="s">
        <v>173</v>
      </c>
      <c r="K377" t="s">
        <v>174</v>
      </c>
      <c r="L377">
        <v>77095</v>
      </c>
      <c r="M377" t="s">
        <v>41</v>
      </c>
      <c r="N377" t="s">
        <v>66</v>
      </c>
      <c r="O377" t="s">
        <v>47</v>
      </c>
      <c r="P377" t="s">
        <v>67</v>
      </c>
      <c r="Q377" t="s">
        <v>68</v>
      </c>
      <c r="R377">
        <v>594</v>
      </c>
      <c r="S377">
        <v>2</v>
      </c>
      <c r="T377">
        <v>0.1</v>
      </c>
      <c r="U377">
        <v>63.6</v>
      </c>
    </row>
    <row r="378" spans="1:21" x14ac:dyDescent="0.35">
      <c r="A378">
        <v>377</v>
      </c>
      <c r="B378" t="s">
        <v>364</v>
      </c>
      <c r="C378" s="1">
        <v>45770</v>
      </c>
      <c r="D378" s="1">
        <v>45776</v>
      </c>
      <c r="E378" t="s">
        <v>35</v>
      </c>
      <c r="F378" t="s">
        <v>261</v>
      </c>
      <c r="G378" t="s">
        <v>262</v>
      </c>
      <c r="H378" t="s">
        <v>38</v>
      </c>
      <c r="I378" t="s">
        <v>26</v>
      </c>
      <c r="J378" t="s">
        <v>263</v>
      </c>
      <c r="K378" t="s">
        <v>264</v>
      </c>
      <c r="L378">
        <v>60610</v>
      </c>
      <c r="M378" t="s">
        <v>41</v>
      </c>
      <c r="N378" t="s">
        <v>69</v>
      </c>
      <c r="O378" t="s">
        <v>43</v>
      </c>
      <c r="P378" t="s">
        <v>70</v>
      </c>
      <c r="Q378" t="s">
        <v>71</v>
      </c>
      <c r="R378">
        <v>45</v>
      </c>
      <c r="S378">
        <v>1</v>
      </c>
      <c r="T378">
        <v>0</v>
      </c>
      <c r="U378">
        <v>5.81</v>
      </c>
    </row>
    <row r="379" spans="1:21" x14ac:dyDescent="0.35">
      <c r="A379">
        <v>378</v>
      </c>
      <c r="B379" t="s">
        <v>364</v>
      </c>
      <c r="C379" s="1">
        <v>45770</v>
      </c>
      <c r="D379" s="1">
        <v>45776</v>
      </c>
      <c r="E379" t="s">
        <v>22</v>
      </c>
      <c r="F379" t="s">
        <v>261</v>
      </c>
      <c r="G379" t="s">
        <v>262</v>
      </c>
      <c r="H379" t="s">
        <v>38</v>
      </c>
      <c r="I379" t="s">
        <v>26</v>
      </c>
      <c r="J379" t="s">
        <v>263</v>
      </c>
      <c r="K379" t="s">
        <v>264</v>
      </c>
      <c r="L379">
        <v>60610</v>
      </c>
      <c r="M379" t="s">
        <v>41</v>
      </c>
      <c r="N379" t="s">
        <v>30</v>
      </c>
      <c r="O379" t="s">
        <v>31</v>
      </c>
      <c r="P379" t="s">
        <v>32</v>
      </c>
      <c r="Q379" t="s">
        <v>33</v>
      </c>
      <c r="R379">
        <v>552</v>
      </c>
      <c r="S379">
        <v>3</v>
      </c>
      <c r="T379">
        <v>0.2</v>
      </c>
      <c r="U379">
        <v>1.04</v>
      </c>
    </row>
    <row r="380" spans="1:21" x14ac:dyDescent="0.35">
      <c r="A380">
        <v>379</v>
      </c>
      <c r="B380" t="s">
        <v>364</v>
      </c>
      <c r="C380" s="1">
        <v>45770</v>
      </c>
      <c r="D380" s="1">
        <v>45776</v>
      </c>
      <c r="E380" t="s">
        <v>35</v>
      </c>
      <c r="F380" t="s">
        <v>261</v>
      </c>
      <c r="G380" t="s">
        <v>262</v>
      </c>
      <c r="H380" t="s">
        <v>38</v>
      </c>
      <c r="I380" t="s">
        <v>26</v>
      </c>
      <c r="J380" t="s">
        <v>263</v>
      </c>
      <c r="K380" t="s">
        <v>264</v>
      </c>
      <c r="L380">
        <v>60610</v>
      </c>
      <c r="M380" t="s">
        <v>41</v>
      </c>
      <c r="N380" t="s">
        <v>113</v>
      </c>
      <c r="O380" t="s">
        <v>43</v>
      </c>
      <c r="P380" t="s">
        <v>114</v>
      </c>
      <c r="Q380" t="s">
        <v>115</v>
      </c>
      <c r="R380">
        <v>38.5</v>
      </c>
      <c r="S380">
        <v>5</v>
      </c>
      <c r="T380">
        <v>0.3</v>
      </c>
      <c r="U380">
        <v>6.21</v>
      </c>
    </row>
    <row r="381" spans="1:21" x14ac:dyDescent="0.35">
      <c r="A381">
        <v>380</v>
      </c>
      <c r="B381" t="s">
        <v>365</v>
      </c>
      <c r="C381" s="1">
        <v>45723</v>
      </c>
      <c r="D381" s="1">
        <v>45725</v>
      </c>
      <c r="E381" t="s">
        <v>35</v>
      </c>
      <c r="F381" t="s">
        <v>283</v>
      </c>
      <c r="G381" t="s">
        <v>204</v>
      </c>
      <c r="H381" t="s">
        <v>62</v>
      </c>
      <c r="I381" t="s">
        <v>26</v>
      </c>
      <c r="J381" t="s">
        <v>135</v>
      </c>
      <c r="K381" t="s">
        <v>136</v>
      </c>
      <c r="L381">
        <v>19140</v>
      </c>
      <c r="M381" t="s">
        <v>29</v>
      </c>
      <c r="N381" t="s">
        <v>46</v>
      </c>
      <c r="O381" t="s">
        <v>47</v>
      </c>
      <c r="P381" t="s">
        <v>48</v>
      </c>
      <c r="Q381" t="s">
        <v>49</v>
      </c>
      <c r="R381">
        <v>192</v>
      </c>
      <c r="S381">
        <v>6</v>
      </c>
      <c r="T381">
        <v>0</v>
      </c>
      <c r="U381">
        <v>41.75</v>
      </c>
    </row>
    <row r="382" spans="1:21" x14ac:dyDescent="0.35">
      <c r="A382">
        <v>381</v>
      </c>
      <c r="B382" t="s">
        <v>365</v>
      </c>
      <c r="C382" s="1">
        <v>45723</v>
      </c>
      <c r="D382" s="1">
        <v>45725</v>
      </c>
      <c r="E382" t="s">
        <v>22</v>
      </c>
      <c r="F382" t="s">
        <v>283</v>
      </c>
      <c r="G382" t="s">
        <v>204</v>
      </c>
      <c r="H382" t="s">
        <v>62</v>
      </c>
      <c r="I382" t="s">
        <v>26</v>
      </c>
      <c r="J382" t="s">
        <v>135</v>
      </c>
      <c r="K382" t="s">
        <v>136</v>
      </c>
      <c r="L382">
        <v>19140</v>
      </c>
      <c r="M382" t="s">
        <v>29</v>
      </c>
      <c r="N382" t="s">
        <v>69</v>
      </c>
      <c r="O382" t="s">
        <v>43</v>
      </c>
      <c r="P382" t="s">
        <v>70</v>
      </c>
      <c r="Q382" t="s">
        <v>71</v>
      </c>
      <c r="R382">
        <v>162</v>
      </c>
      <c r="S382">
        <v>4</v>
      </c>
      <c r="T382">
        <v>0.1</v>
      </c>
      <c r="U382">
        <v>16.32</v>
      </c>
    </row>
    <row r="383" spans="1:21" x14ac:dyDescent="0.35">
      <c r="A383">
        <v>382</v>
      </c>
      <c r="B383" t="s">
        <v>366</v>
      </c>
      <c r="C383" s="1">
        <v>45667</v>
      </c>
      <c r="D383" s="1">
        <v>45672</v>
      </c>
      <c r="E383" t="s">
        <v>94</v>
      </c>
      <c r="F383" t="s">
        <v>73</v>
      </c>
      <c r="G383" t="s">
        <v>74</v>
      </c>
      <c r="H383" t="s">
        <v>38</v>
      </c>
      <c r="I383" t="s">
        <v>26</v>
      </c>
      <c r="J383" t="s">
        <v>75</v>
      </c>
      <c r="K383" t="s">
        <v>76</v>
      </c>
      <c r="L383">
        <v>2110</v>
      </c>
      <c r="M383" t="s">
        <v>29</v>
      </c>
      <c r="N383" t="s">
        <v>97</v>
      </c>
      <c r="O383" t="s">
        <v>31</v>
      </c>
      <c r="P383" t="s">
        <v>98</v>
      </c>
      <c r="Q383" t="s">
        <v>99</v>
      </c>
      <c r="R383">
        <v>416</v>
      </c>
      <c r="S383">
        <v>2</v>
      </c>
      <c r="T383">
        <v>0.2</v>
      </c>
      <c r="U383">
        <v>-9.43</v>
      </c>
    </row>
    <row r="384" spans="1:21" x14ac:dyDescent="0.35">
      <c r="A384">
        <v>383</v>
      </c>
      <c r="B384" t="s">
        <v>366</v>
      </c>
      <c r="C384" s="1">
        <v>45667</v>
      </c>
      <c r="D384" s="1">
        <v>45672</v>
      </c>
      <c r="E384" t="s">
        <v>35</v>
      </c>
      <c r="F384" t="s">
        <v>73</v>
      </c>
      <c r="G384" t="s">
        <v>74</v>
      </c>
      <c r="H384" t="s">
        <v>38</v>
      </c>
      <c r="I384" t="s">
        <v>26</v>
      </c>
      <c r="J384" t="s">
        <v>75</v>
      </c>
      <c r="K384" t="s">
        <v>76</v>
      </c>
      <c r="L384">
        <v>2110</v>
      </c>
      <c r="M384" t="s">
        <v>29</v>
      </c>
      <c r="N384" t="s">
        <v>51</v>
      </c>
      <c r="O384" t="s">
        <v>43</v>
      </c>
      <c r="P384" t="s">
        <v>52</v>
      </c>
      <c r="Q384" t="s">
        <v>53</v>
      </c>
      <c r="R384">
        <v>25.6</v>
      </c>
      <c r="S384">
        <v>4</v>
      </c>
      <c r="T384">
        <v>0.2</v>
      </c>
      <c r="U384">
        <v>4.91</v>
      </c>
    </row>
    <row r="385" spans="1:21" x14ac:dyDescent="0.35">
      <c r="A385">
        <v>384</v>
      </c>
      <c r="B385" t="s">
        <v>366</v>
      </c>
      <c r="C385" s="1">
        <v>45667</v>
      </c>
      <c r="D385" s="1">
        <v>45672</v>
      </c>
      <c r="E385" t="s">
        <v>22</v>
      </c>
      <c r="F385" t="s">
        <v>73</v>
      </c>
      <c r="G385" t="s">
        <v>74</v>
      </c>
      <c r="H385" t="s">
        <v>38</v>
      </c>
      <c r="I385" t="s">
        <v>26</v>
      </c>
      <c r="J385" t="s">
        <v>75</v>
      </c>
      <c r="K385" t="s">
        <v>76</v>
      </c>
      <c r="L385">
        <v>2110</v>
      </c>
      <c r="M385" t="s">
        <v>29</v>
      </c>
      <c r="N385" t="s">
        <v>69</v>
      </c>
      <c r="O385" t="s">
        <v>43</v>
      </c>
      <c r="P385" t="s">
        <v>70</v>
      </c>
      <c r="Q385" t="s">
        <v>71</v>
      </c>
      <c r="R385">
        <v>252</v>
      </c>
      <c r="S385">
        <v>7</v>
      </c>
      <c r="T385">
        <v>0.2</v>
      </c>
      <c r="U385">
        <v>6.8</v>
      </c>
    </row>
    <row r="386" spans="1:21" x14ac:dyDescent="0.35">
      <c r="A386">
        <v>385</v>
      </c>
      <c r="B386" t="s">
        <v>366</v>
      </c>
      <c r="C386" s="1">
        <v>45667</v>
      </c>
      <c r="D386" s="1">
        <v>45672</v>
      </c>
      <c r="E386" t="s">
        <v>50</v>
      </c>
      <c r="F386" t="s">
        <v>73</v>
      </c>
      <c r="G386" t="s">
        <v>74</v>
      </c>
      <c r="H386" t="s">
        <v>38</v>
      </c>
      <c r="I386" t="s">
        <v>26</v>
      </c>
      <c r="J386" t="s">
        <v>75</v>
      </c>
      <c r="K386" t="s">
        <v>76</v>
      </c>
      <c r="L386">
        <v>2110</v>
      </c>
      <c r="M386" t="s">
        <v>29</v>
      </c>
      <c r="N386" t="s">
        <v>125</v>
      </c>
      <c r="O386" t="s">
        <v>43</v>
      </c>
      <c r="P386" t="s">
        <v>126</v>
      </c>
      <c r="Q386" t="s">
        <v>127</v>
      </c>
      <c r="R386">
        <v>240</v>
      </c>
      <c r="S386">
        <v>2</v>
      </c>
      <c r="T386">
        <v>0</v>
      </c>
      <c r="U386">
        <v>42.51</v>
      </c>
    </row>
    <row r="387" spans="1:21" x14ac:dyDescent="0.35">
      <c r="A387">
        <v>386</v>
      </c>
      <c r="B387" t="s">
        <v>367</v>
      </c>
      <c r="C387" s="1">
        <v>45398</v>
      </c>
      <c r="D387" s="1">
        <v>45400</v>
      </c>
      <c r="E387" t="s">
        <v>94</v>
      </c>
      <c r="F387" t="s">
        <v>81</v>
      </c>
      <c r="G387" t="s">
        <v>82</v>
      </c>
      <c r="H387" t="s">
        <v>25</v>
      </c>
      <c r="I387" t="s">
        <v>26</v>
      </c>
      <c r="J387" t="s">
        <v>83</v>
      </c>
      <c r="K387" t="s">
        <v>84</v>
      </c>
      <c r="L387">
        <v>98103</v>
      </c>
      <c r="M387" t="s">
        <v>85</v>
      </c>
      <c r="N387" t="s">
        <v>113</v>
      </c>
      <c r="O387" t="s">
        <v>43</v>
      </c>
      <c r="P387" t="s">
        <v>114</v>
      </c>
      <c r="Q387" t="s">
        <v>115</v>
      </c>
      <c r="R387">
        <v>7.7</v>
      </c>
      <c r="S387">
        <v>1</v>
      </c>
      <c r="T387">
        <v>0.3</v>
      </c>
      <c r="U387">
        <v>1.99</v>
      </c>
    </row>
    <row r="388" spans="1:21" x14ac:dyDescent="0.35">
      <c r="A388">
        <v>387</v>
      </c>
      <c r="B388" t="s">
        <v>367</v>
      </c>
      <c r="C388" s="1">
        <v>45398</v>
      </c>
      <c r="D388" s="1">
        <v>45400</v>
      </c>
      <c r="E388" t="s">
        <v>94</v>
      </c>
      <c r="F388" t="s">
        <v>81</v>
      </c>
      <c r="G388" t="s">
        <v>82</v>
      </c>
      <c r="H388" t="s">
        <v>25</v>
      </c>
      <c r="I388" t="s">
        <v>26</v>
      </c>
      <c r="J388" t="s">
        <v>83</v>
      </c>
      <c r="K388" t="s">
        <v>84</v>
      </c>
      <c r="L388">
        <v>98103</v>
      </c>
      <c r="M388" t="s">
        <v>85</v>
      </c>
      <c r="N388" t="s">
        <v>69</v>
      </c>
      <c r="O388" t="s">
        <v>43</v>
      </c>
      <c r="P388" t="s">
        <v>70</v>
      </c>
      <c r="Q388" t="s">
        <v>71</v>
      </c>
      <c r="R388">
        <v>180</v>
      </c>
      <c r="S388">
        <v>5</v>
      </c>
      <c r="T388">
        <v>0.2</v>
      </c>
      <c r="U388">
        <v>6.66</v>
      </c>
    </row>
    <row r="389" spans="1:21" x14ac:dyDescent="0.35">
      <c r="A389">
        <v>388</v>
      </c>
      <c r="B389" t="s">
        <v>368</v>
      </c>
      <c r="C389" s="1">
        <v>45454</v>
      </c>
      <c r="D389" s="1">
        <v>45456</v>
      </c>
      <c r="E389" t="s">
        <v>50</v>
      </c>
      <c r="F389" t="s">
        <v>81</v>
      </c>
      <c r="G389" t="s">
        <v>82</v>
      </c>
      <c r="H389" t="s">
        <v>25</v>
      </c>
      <c r="I389" t="s">
        <v>26</v>
      </c>
      <c r="J389" t="s">
        <v>83</v>
      </c>
      <c r="K389" t="s">
        <v>84</v>
      </c>
      <c r="L389">
        <v>98103</v>
      </c>
      <c r="M389" t="s">
        <v>85</v>
      </c>
      <c r="N389" t="s">
        <v>46</v>
      </c>
      <c r="O389" t="s">
        <v>47</v>
      </c>
      <c r="P389" t="s">
        <v>48</v>
      </c>
      <c r="Q389" t="s">
        <v>49</v>
      </c>
      <c r="R389">
        <v>57.6</v>
      </c>
      <c r="S389">
        <v>2</v>
      </c>
      <c r="T389">
        <v>0.1</v>
      </c>
      <c r="U389">
        <v>10.68</v>
      </c>
    </row>
    <row r="390" spans="1:21" x14ac:dyDescent="0.35">
      <c r="A390">
        <v>389</v>
      </c>
      <c r="B390" t="s">
        <v>369</v>
      </c>
      <c r="C390" s="1">
        <v>45669</v>
      </c>
      <c r="D390" s="1">
        <v>45675</v>
      </c>
      <c r="E390" t="s">
        <v>35</v>
      </c>
      <c r="F390" t="s">
        <v>157</v>
      </c>
      <c r="G390" t="s">
        <v>158</v>
      </c>
      <c r="H390" t="s">
        <v>62</v>
      </c>
      <c r="I390" t="s">
        <v>26</v>
      </c>
      <c r="J390" t="s">
        <v>89</v>
      </c>
      <c r="K390" t="s">
        <v>90</v>
      </c>
      <c r="L390">
        <v>90036</v>
      </c>
      <c r="M390" t="s">
        <v>85</v>
      </c>
      <c r="N390" t="s">
        <v>106</v>
      </c>
      <c r="O390" t="s">
        <v>43</v>
      </c>
      <c r="P390" t="s">
        <v>107</v>
      </c>
      <c r="Q390" t="s">
        <v>108</v>
      </c>
      <c r="R390">
        <v>32.4</v>
      </c>
      <c r="S390">
        <v>4</v>
      </c>
      <c r="T390">
        <v>0.1</v>
      </c>
      <c r="U390">
        <v>8.33</v>
      </c>
    </row>
    <row r="391" spans="1:21" x14ac:dyDescent="0.35">
      <c r="A391">
        <v>390</v>
      </c>
      <c r="B391" t="s">
        <v>369</v>
      </c>
      <c r="C391" s="1">
        <v>45669</v>
      </c>
      <c r="D391" s="1">
        <v>45675</v>
      </c>
      <c r="E391" t="s">
        <v>50</v>
      </c>
      <c r="F391" t="s">
        <v>157</v>
      </c>
      <c r="G391" t="s">
        <v>158</v>
      </c>
      <c r="H391" t="s">
        <v>62</v>
      </c>
      <c r="I391" t="s">
        <v>26</v>
      </c>
      <c r="J391" t="s">
        <v>89</v>
      </c>
      <c r="K391" t="s">
        <v>90</v>
      </c>
      <c r="L391">
        <v>90036</v>
      </c>
      <c r="M391" t="s">
        <v>85</v>
      </c>
      <c r="N391" t="s">
        <v>51</v>
      </c>
      <c r="O391" t="s">
        <v>43</v>
      </c>
      <c r="P391" t="s">
        <v>52</v>
      </c>
      <c r="Q391" t="s">
        <v>53</v>
      </c>
      <c r="R391">
        <v>21.6</v>
      </c>
      <c r="S391">
        <v>3</v>
      </c>
      <c r="T391">
        <v>0.1</v>
      </c>
      <c r="U391">
        <v>3.35</v>
      </c>
    </row>
    <row r="392" spans="1:21" x14ac:dyDescent="0.35">
      <c r="A392">
        <v>391</v>
      </c>
      <c r="B392" t="s">
        <v>370</v>
      </c>
      <c r="C392" s="1">
        <v>45540</v>
      </c>
      <c r="D392" s="1">
        <v>45543</v>
      </c>
      <c r="E392" t="s">
        <v>22</v>
      </c>
      <c r="F392" t="s">
        <v>349</v>
      </c>
      <c r="G392" t="s">
        <v>82</v>
      </c>
      <c r="H392" t="s">
        <v>62</v>
      </c>
      <c r="I392" t="s">
        <v>26</v>
      </c>
      <c r="J392" t="s">
        <v>75</v>
      </c>
      <c r="K392" t="s">
        <v>76</v>
      </c>
      <c r="L392">
        <v>2110</v>
      </c>
      <c r="M392" t="s">
        <v>29</v>
      </c>
      <c r="N392" t="s">
        <v>121</v>
      </c>
      <c r="O392" t="s">
        <v>47</v>
      </c>
      <c r="P392" t="s">
        <v>122</v>
      </c>
      <c r="Q392" t="s">
        <v>123</v>
      </c>
      <c r="R392">
        <v>2160</v>
      </c>
      <c r="S392">
        <v>5</v>
      </c>
      <c r="T392">
        <v>0.2</v>
      </c>
      <c r="U392">
        <v>151.29</v>
      </c>
    </row>
    <row r="393" spans="1:21" x14ac:dyDescent="0.35">
      <c r="A393">
        <v>392</v>
      </c>
      <c r="B393" t="s">
        <v>371</v>
      </c>
      <c r="C393" s="1">
        <v>45438</v>
      </c>
      <c r="D393" s="1">
        <v>45444</v>
      </c>
      <c r="E393" t="s">
        <v>50</v>
      </c>
      <c r="F393" t="s">
        <v>129</v>
      </c>
      <c r="G393" t="s">
        <v>130</v>
      </c>
      <c r="H393" t="s">
        <v>62</v>
      </c>
      <c r="I393" t="s">
        <v>26</v>
      </c>
      <c r="J393" t="s">
        <v>131</v>
      </c>
      <c r="K393" t="s">
        <v>90</v>
      </c>
      <c r="L393">
        <v>94122</v>
      </c>
      <c r="M393" t="s">
        <v>85</v>
      </c>
      <c r="N393" t="s">
        <v>46</v>
      </c>
      <c r="O393" t="s">
        <v>47</v>
      </c>
      <c r="P393" t="s">
        <v>48</v>
      </c>
      <c r="Q393" t="s">
        <v>49</v>
      </c>
      <c r="R393">
        <v>67.2</v>
      </c>
      <c r="S393">
        <v>3</v>
      </c>
      <c r="T393">
        <v>0.3</v>
      </c>
      <c r="U393">
        <v>4.05</v>
      </c>
    </row>
    <row r="394" spans="1:21" x14ac:dyDescent="0.35">
      <c r="A394">
        <v>393</v>
      </c>
      <c r="B394" t="s">
        <v>372</v>
      </c>
      <c r="C394" s="1">
        <v>45637</v>
      </c>
      <c r="D394" s="1">
        <v>45640</v>
      </c>
      <c r="E394" t="s">
        <v>50</v>
      </c>
      <c r="F394" t="s">
        <v>373</v>
      </c>
      <c r="G394" t="s">
        <v>374</v>
      </c>
      <c r="H394" t="s">
        <v>38</v>
      </c>
      <c r="I394" t="s">
        <v>26</v>
      </c>
      <c r="J394" t="s">
        <v>63</v>
      </c>
      <c r="K394" t="s">
        <v>64</v>
      </c>
      <c r="L394">
        <v>37211</v>
      </c>
      <c r="M394" t="s">
        <v>65</v>
      </c>
      <c r="N394" t="s">
        <v>106</v>
      </c>
      <c r="O394" t="s">
        <v>43</v>
      </c>
      <c r="P394" t="s">
        <v>107</v>
      </c>
      <c r="Q394" t="s">
        <v>108</v>
      </c>
      <c r="R394">
        <v>22.5</v>
      </c>
      <c r="S394">
        <v>5</v>
      </c>
      <c r="T394">
        <v>0.5</v>
      </c>
      <c r="U394">
        <v>0.43</v>
      </c>
    </row>
    <row r="395" spans="1:21" x14ac:dyDescent="0.35">
      <c r="A395">
        <v>394</v>
      </c>
      <c r="B395" t="s">
        <v>372</v>
      </c>
      <c r="C395" s="1">
        <v>45637</v>
      </c>
      <c r="D395" s="1">
        <v>45640</v>
      </c>
      <c r="E395" t="s">
        <v>50</v>
      </c>
      <c r="F395" t="s">
        <v>373</v>
      </c>
      <c r="G395" t="s">
        <v>374</v>
      </c>
      <c r="H395" t="s">
        <v>38</v>
      </c>
      <c r="I395" t="s">
        <v>26</v>
      </c>
      <c r="J395" t="s">
        <v>63</v>
      </c>
      <c r="K395" t="s">
        <v>64</v>
      </c>
      <c r="L395">
        <v>37211</v>
      </c>
      <c r="M395" t="s">
        <v>65</v>
      </c>
      <c r="N395" t="s">
        <v>109</v>
      </c>
      <c r="O395" t="s">
        <v>31</v>
      </c>
      <c r="P395" t="s">
        <v>110</v>
      </c>
      <c r="Q395" t="s">
        <v>111</v>
      </c>
      <c r="R395">
        <v>25</v>
      </c>
      <c r="S395">
        <v>1</v>
      </c>
      <c r="T395">
        <v>0</v>
      </c>
      <c r="U395">
        <v>7.41</v>
      </c>
    </row>
    <row r="396" spans="1:21" x14ac:dyDescent="0.35">
      <c r="A396">
        <v>395</v>
      </c>
      <c r="B396" t="s">
        <v>372</v>
      </c>
      <c r="C396" s="1">
        <v>45637</v>
      </c>
      <c r="D396" s="1">
        <v>45640</v>
      </c>
      <c r="E396" t="s">
        <v>22</v>
      </c>
      <c r="F396" t="s">
        <v>373</v>
      </c>
      <c r="G396" t="s">
        <v>374</v>
      </c>
      <c r="H396" t="s">
        <v>38</v>
      </c>
      <c r="I396" t="s">
        <v>26</v>
      </c>
      <c r="J396" t="s">
        <v>63</v>
      </c>
      <c r="K396" t="s">
        <v>64</v>
      </c>
      <c r="L396">
        <v>37211</v>
      </c>
      <c r="M396" t="s">
        <v>65</v>
      </c>
      <c r="N396" t="s">
        <v>113</v>
      </c>
      <c r="O396" t="s">
        <v>43</v>
      </c>
      <c r="P396" t="s">
        <v>114</v>
      </c>
      <c r="Q396" t="s">
        <v>115</v>
      </c>
      <c r="R396">
        <v>44</v>
      </c>
      <c r="S396">
        <v>4</v>
      </c>
      <c r="T396">
        <v>0</v>
      </c>
      <c r="U396">
        <v>15.3</v>
      </c>
    </row>
    <row r="397" spans="1:21" x14ac:dyDescent="0.35">
      <c r="A397">
        <v>396</v>
      </c>
      <c r="B397" t="s">
        <v>372</v>
      </c>
      <c r="C397" s="1">
        <v>45637</v>
      </c>
      <c r="D397" s="1">
        <v>45640</v>
      </c>
      <c r="E397" t="s">
        <v>22</v>
      </c>
      <c r="F397" t="s">
        <v>373</v>
      </c>
      <c r="G397" t="s">
        <v>374</v>
      </c>
      <c r="H397" t="s">
        <v>38</v>
      </c>
      <c r="I397" t="s">
        <v>26</v>
      </c>
      <c r="J397" t="s">
        <v>63</v>
      </c>
      <c r="K397" t="s">
        <v>64</v>
      </c>
      <c r="L397">
        <v>37211</v>
      </c>
      <c r="M397" t="s">
        <v>65</v>
      </c>
      <c r="N397" t="s">
        <v>77</v>
      </c>
      <c r="O397" t="s">
        <v>31</v>
      </c>
      <c r="P397" t="s">
        <v>78</v>
      </c>
      <c r="Q397" t="s">
        <v>79</v>
      </c>
      <c r="R397">
        <v>1680</v>
      </c>
      <c r="S397">
        <v>4</v>
      </c>
      <c r="T397">
        <v>0</v>
      </c>
      <c r="U397">
        <v>-83.57</v>
      </c>
    </row>
    <row r="398" spans="1:21" x14ac:dyDescent="0.35">
      <c r="A398">
        <v>397</v>
      </c>
      <c r="B398" t="s">
        <v>375</v>
      </c>
      <c r="C398" s="1">
        <v>45485</v>
      </c>
      <c r="D398" s="1">
        <v>45490</v>
      </c>
      <c r="E398" t="s">
        <v>22</v>
      </c>
      <c r="F398" t="s">
        <v>203</v>
      </c>
      <c r="G398" t="s">
        <v>204</v>
      </c>
      <c r="H398" t="s">
        <v>38</v>
      </c>
      <c r="I398" t="s">
        <v>26</v>
      </c>
      <c r="J398" t="s">
        <v>75</v>
      </c>
      <c r="K398" t="s">
        <v>76</v>
      </c>
      <c r="L398">
        <v>2110</v>
      </c>
      <c r="M398" t="s">
        <v>29</v>
      </c>
      <c r="N398" t="s">
        <v>95</v>
      </c>
      <c r="O398" t="s">
        <v>47</v>
      </c>
      <c r="P398" t="s">
        <v>48</v>
      </c>
      <c r="Q398" t="s">
        <v>96</v>
      </c>
      <c r="R398">
        <v>22</v>
      </c>
      <c r="S398">
        <v>2</v>
      </c>
      <c r="T398">
        <v>0.5</v>
      </c>
      <c r="U398">
        <v>-0.32</v>
      </c>
    </row>
    <row r="399" spans="1:21" x14ac:dyDescent="0.35">
      <c r="A399">
        <v>398</v>
      </c>
      <c r="B399" t="s">
        <v>375</v>
      </c>
      <c r="C399" s="1">
        <v>45485</v>
      </c>
      <c r="D399" s="1">
        <v>45490</v>
      </c>
      <c r="E399" t="s">
        <v>94</v>
      </c>
      <c r="F399" t="s">
        <v>203</v>
      </c>
      <c r="G399" t="s">
        <v>204</v>
      </c>
      <c r="H399" t="s">
        <v>38</v>
      </c>
      <c r="I399" t="s">
        <v>26</v>
      </c>
      <c r="J399" t="s">
        <v>75</v>
      </c>
      <c r="K399" t="s">
        <v>76</v>
      </c>
      <c r="L399">
        <v>2110</v>
      </c>
      <c r="M399" t="s">
        <v>29</v>
      </c>
      <c r="N399" t="s">
        <v>109</v>
      </c>
      <c r="O399" t="s">
        <v>31</v>
      </c>
      <c r="P399" t="s">
        <v>110</v>
      </c>
      <c r="Q399" t="s">
        <v>111</v>
      </c>
      <c r="R399">
        <v>80</v>
      </c>
      <c r="S399">
        <v>4</v>
      </c>
      <c r="T399">
        <v>0.2</v>
      </c>
      <c r="U399">
        <v>13.15</v>
      </c>
    </row>
    <row r="400" spans="1:21" x14ac:dyDescent="0.35">
      <c r="A400">
        <v>399</v>
      </c>
      <c r="B400" t="s">
        <v>376</v>
      </c>
      <c r="C400" s="1">
        <v>45775</v>
      </c>
      <c r="D400" s="1">
        <v>45780</v>
      </c>
      <c r="E400" t="s">
        <v>94</v>
      </c>
      <c r="F400" t="s">
        <v>117</v>
      </c>
      <c r="G400" t="s">
        <v>118</v>
      </c>
      <c r="H400" t="s">
        <v>25</v>
      </c>
      <c r="I400" t="s">
        <v>26</v>
      </c>
      <c r="J400" t="s">
        <v>119</v>
      </c>
      <c r="K400" t="s">
        <v>120</v>
      </c>
      <c r="L400">
        <v>97206</v>
      </c>
      <c r="M400" t="s">
        <v>85</v>
      </c>
      <c r="N400" t="s">
        <v>121</v>
      </c>
      <c r="O400" t="s">
        <v>47</v>
      </c>
      <c r="P400" t="s">
        <v>122</v>
      </c>
      <c r="Q400" t="s">
        <v>123</v>
      </c>
      <c r="R400">
        <v>1620</v>
      </c>
      <c r="S400">
        <v>3</v>
      </c>
      <c r="T400">
        <v>0</v>
      </c>
      <c r="U400">
        <v>305.83</v>
      </c>
    </row>
    <row r="401" spans="1:21" x14ac:dyDescent="0.35">
      <c r="A401">
        <v>400</v>
      </c>
      <c r="B401" t="s">
        <v>377</v>
      </c>
      <c r="C401" s="1">
        <v>45969</v>
      </c>
      <c r="D401" s="1">
        <v>45974</v>
      </c>
      <c r="E401" t="s">
        <v>94</v>
      </c>
      <c r="F401" t="s">
        <v>195</v>
      </c>
      <c r="G401" t="s">
        <v>196</v>
      </c>
      <c r="H401" t="s">
        <v>62</v>
      </c>
      <c r="I401" t="s">
        <v>26</v>
      </c>
      <c r="J401" t="s">
        <v>150</v>
      </c>
      <c r="K401" t="s">
        <v>151</v>
      </c>
      <c r="L401">
        <v>33311</v>
      </c>
      <c r="M401" t="s">
        <v>65</v>
      </c>
      <c r="N401" t="s">
        <v>121</v>
      </c>
      <c r="O401" t="s">
        <v>47</v>
      </c>
      <c r="P401" t="s">
        <v>122</v>
      </c>
      <c r="Q401" t="s">
        <v>123</v>
      </c>
      <c r="R401">
        <v>432</v>
      </c>
      <c r="S401">
        <v>1</v>
      </c>
      <c r="T401">
        <v>0.2</v>
      </c>
      <c r="U401">
        <v>28.45</v>
      </c>
    </row>
    <row r="402" spans="1:21" x14ac:dyDescent="0.35">
      <c r="A402">
        <v>401</v>
      </c>
      <c r="B402" t="s">
        <v>378</v>
      </c>
      <c r="C402" s="1">
        <v>46088</v>
      </c>
      <c r="D402" s="1">
        <v>46089</v>
      </c>
      <c r="E402" t="s">
        <v>94</v>
      </c>
      <c r="F402" t="s">
        <v>73</v>
      </c>
      <c r="G402" t="s">
        <v>74</v>
      </c>
      <c r="H402" t="s">
        <v>38</v>
      </c>
      <c r="I402" t="s">
        <v>26</v>
      </c>
      <c r="J402" t="s">
        <v>75</v>
      </c>
      <c r="K402" t="s">
        <v>76</v>
      </c>
      <c r="L402">
        <v>2110</v>
      </c>
      <c r="M402" t="s">
        <v>29</v>
      </c>
      <c r="N402" t="s">
        <v>69</v>
      </c>
      <c r="O402" t="s">
        <v>43</v>
      </c>
      <c r="P402" t="s">
        <v>70</v>
      </c>
      <c r="Q402" t="s">
        <v>71</v>
      </c>
      <c r="R402">
        <v>162</v>
      </c>
      <c r="S402">
        <v>4</v>
      </c>
      <c r="T402">
        <v>0.1</v>
      </c>
      <c r="U402">
        <v>13.55</v>
      </c>
    </row>
    <row r="403" spans="1:21" x14ac:dyDescent="0.35">
      <c r="A403">
        <v>402</v>
      </c>
      <c r="B403" t="s">
        <v>378</v>
      </c>
      <c r="C403" s="1">
        <v>46088</v>
      </c>
      <c r="D403" s="1">
        <v>46089</v>
      </c>
      <c r="E403" t="s">
        <v>94</v>
      </c>
      <c r="F403" t="s">
        <v>73</v>
      </c>
      <c r="G403" t="s">
        <v>74</v>
      </c>
      <c r="H403" t="s">
        <v>38</v>
      </c>
      <c r="I403" t="s">
        <v>26</v>
      </c>
      <c r="J403" t="s">
        <v>75</v>
      </c>
      <c r="K403" t="s">
        <v>76</v>
      </c>
      <c r="L403">
        <v>2110</v>
      </c>
      <c r="M403" t="s">
        <v>29</v>
      </c>
      <c r="N403" t="s">
        <v>113</v>
      </c>
      <c r="O403" t="s">
        <v>43</v>
      </c>
      <c r="P403" t="s">
        <v>114</v>
      </c>
      <c r="Q403" t="s">
        <v>115</v>
      </c>
      <c r="R403">
        <v>11</v>
      </c>
      <c r="S403">
        <v>1</v>
      </c>
      <c r="T403">
        <v>0</v>
      </c>
      <c r="U403">
        <v>3.96</v>
      </c>
    </row>
    <row r="404" spans="1:21" x14ac:dyDescent="0.35">
      <c r="A404">
        <v>403</v>
      </c>
      <c r="B404" t="s">
        <v>378</v>
      </c>
      <c r="C404" s="1">
        <v>46088</v>
      </c>
      <c r="D404" s="1">
        <v>46089</v>
      </c>
      <c r="E404" t="s">
        <v>22</v>
      </c>
      <c r="F404" t="s">
        <v>73</v>
      </c>
      <c r="G404" t="s">
        <v>74</v>
      </c>
      <c r="H404" t="s">
        <v>38</v>
      </c>
      <c r="I404" t="s">
        <v>26</v>
      </c>
      <c r="J404" t="s">
        <v>75</v>
      </c>
      <c r="K404" t="s">
        <v>76</v>
      </c>
      <c r="L404">
        <v>2110</v>
      </c>
      <c r="M404" t="s">
        <v>29</v>
      </c>
      <c r="N404" t="s">
        <v>97</v>
      </c>
      <c r="O404" t="s">
        <v>31</v>
      </c>
      <c r="P404" t="s">
        <v>98</v>
      </c>
      <c r="Q404" t="s">
        <v>99</v>
      </c>
      <c r="R404">
        <v>780</v>
      </c>
      <c r="S404">
        <v>3</v>
      </c>
      <c r="T404">
        <v>0</v>
      </c>
      <c r="U404">
        <v>76.680000000000007</v>
      </c>
    </row>
    <row r="405" spans="1:21" x14ac:dyDescent="0.35">
      <c r="A405">
        <v>404</v>
      </c>
      <c r="B405" t="s">
        <v>379</v>
      </c>
      <c r="C405" s="1">
        <v>45304</v>
      </c>
      <c r="D405" s="1">
        <v>45305</v>
      </c>
      <c r="E405" t="s">
        <v>94</v>
      </c>
      <c r="F405" t="s">
        <v>55</v>
      </c>
      <c r="G405" t="s">
        <v>56</v>
      </c>
      <c r="H405" t="s">
        <v>38</v>
      </c>
      <c r="I405" t="s">
        <v>26</v>
      </c>
      <c r="J405" t="s">
        <v>57</v>
      </c>
      <c r="K405" t="s">
        <v>58</v>
      </c>
      <c r="L405">
        <v>10009</v>
      </c>
      <c r="M405" t="s">
        <v>29</v>
      </c>
      <c r="N405" t="s">
        <v>77</v>
      </c>
      <c r="O405" t="s">
        <v>31</v>
      </c>
      <c r="P405" t="s">
        <v>78</v>
      </c>
      <c r="Q405" t="s">
        <v>79</v>
      </c>
      <c r="R405">
        <v>1344</v>
      </c>
      <c r="S405">
        <v>4</v>
      </c>
      <c r="T405">
        <v>0.2</v>
      </c>
      <c r="U405">
        <v>-228.29</v>
      </c>
    </row>
    <row r="406" spans="1:21" x14ac:dyDescent="0.35">
      <c r="A406">
        <v>405</v>
      </c>
      <c r="B406" t="s">
        <v>379</v>
      </c>
      <c r="C406" s="1">
        <v>45304</v>
      </c>
      <c r="D406" s="1">
        <v>45305</v>
      </c>
      <c r="E406" t="s">
        <v>22</v>
      </c>
      <c r="F406" t="s">
        <v>55</v>
      </c>
      <c r="G406" t="s">
        <v>56</v>
      </c>
      <c r="H406" t="s">
        <v>38</v>
      </c>
      <c r="I406" t="s">
        <v>26</v>
      </c>
      <c r="J406" t="s">
        <v>57</v>
      </c>
      <c r="K406" t="s">
        <v>58</v>
      </c>
      <c r="L406">
        <v>10009</v>
      </c>
      <c r="M406" t="s">
        <v>29</v>
      </c>
      <c r="N406" t="s">
        <v>125</v>
      </c>
      <c r="O406" t="s">
        <v>43</v>
      </c>
      <c r="P406" t="s">
        <v>126</v>
      </c>
      <c r="Q406" t="s">
        <v>127</v>
      </c>
      <c r="R406">
        <v>480</v>
      </c>
      <c r="S406">
        <v>4</v>
      </c>
      <c r="T406">
        <v>0</v>
      </c>
      <c r="U406">
        <v>87.45</v>
      </c>
    </row>
    <row r="407" spans="1:21" x14ac:dyDescent="0.35">
      <c r="A407">
        <v>406</v>
      </c>
      <c r="B407" t="s">
        <v>379</v>
      </c>
      <c r="C407" s="1">
        <v>45304</v>
      </c>
      <c r="D407" s="1">
        <v>45305</v>
      </c>
      <c r="E407" t="s">
        <v>50</v>
      </c>
      <c r="F407" t="s">
        <v>55</v>
      </c>
      <c r="G407" t="s">
        <v>56</v>
      </c>
      <c r="H407" t="s">
        <v>38</v>
      </c>
      <c r="I407" t="s">
        <v>26</v>
      </c>
      <c r="J407" t="s">
        <v>57</v>
      </c>
      <c r="K407" t="s">
        <v>58</v>
      </c>
      <c r="L407">
        <v>10009</v>
      </c>
      <c r="M407" t="s">
        <v>29</v>
      </c>
      <c r="N407" t="s">
        <v>113</v>
      </c>
      <c r="O407" t="s">
        <v>43</v>
      </c>
      <c r="P407" t="s">
        <v>114</v>
      </c>
      <c r="Q407" t="s">
        <v>115</v>
      </c>
      <c r="R407">
        <v>33</v>
      </c>
      <c r="S407">
        <v>3</v>
      </c>
      <c r="T407">
        <v>0</v>
      </c>
      <c r="U407">
        <v>10.42</v>
      </c>
    </row>
    <row r="408" spans="1:21" x14ac:dyDescent="0.35">
      <c r="A408">
        <v>407</v>
      </c>
      <c r="B408" t="s">
        <v>380</v>
      </c>
      <c r="C408" s="1">
        <v>45426</v>
      </c>
      <c r="D408" s="1">
        <v>45430</v>
      </c>
      <c r="E408" t="s">
        <v>35</v>
      </c>
      <c r="F408" t="s">
        <v>261</v>
      </c>
      <c r="G408" t="s">
        <v>262</v>
      </c>
      <c r="H408" t="s">
        <v>38</v>
      </c>
      <c r="I408" t="s">
        <v>26</v>
      </c>
      <c r="J408" t="s">
        <v>263</v>
      </c>
      <c r="K408" t="s">
        <v>264</v>
      </c>
      <c r="L408">
        <v>60610</v>
      </c>
      <c r="M408" t="s">
        <v>41</v>
      </c>
      <c r="N408" t="s">
        <v>46</v>
      </c>
      <c r="O408" t="s">
        <v>47</v>
      </c>
      <c r="P408" t="s">
        <v>48</v>
      </c>
      <c r="Q408" t="s">
        <v>49</v>
      </c>
      <c r="R408">
        <v>153.6</v>
      </c>
      <c r="S408">
        <v>6</v>
      </c>
      <c r="T408">
        <v>0.2</v>
      </c>
      <c r="U408">
        <v>16.350000000000001</v>
      </c>
    </row>
    <row r="409" spans="1:21" x14ac:dyDescent="0.35">
      <c r="A409">
        <v>408</v>
      </c>
      <c r="B409" t="s">
        <v>380</v>
      </c>
      <c r="C409" s="1">
        <v>45426</v>
      </c>
      <c r="D409" s="1">
        <v>45430</v>
      </c>
      <c r="E409" t="s">
        <v>22</v>
      </c>
      <c r="F409" t="s">
        <v>261</v>
      </c>
      <c r="G409" t="s">
        <v>262</v>
      </c>
      <c r="H409" t="s">
        <v>38</v>
      </c>
      <c r="I409" t="s">
        <v>26</v>
      </c>
      <c r="J409" t="s">
        <v>263</v>
      </c>
      <c r="K409" t="s">
        <v>264</v>
      </c>
      <c r="L409">
        <v>60610</v>
      </c>
      <c r="M409" t="s">
        <v>41</v>
      </c>
      <c r="N409" t="s">
        <v>106</v>
      </c>
      <c r="O409" t="s">
        <v>43</v>
      </c>
      <c r="P409" t="s">
        <v>107</v>
      </c>
      <c r="Q409" t="s">
        <v>108</v>
      </c>
      <c r="R409">
        <v>31.5</v>
      </c>
      <c r="S409">
        <v>7</v>
      </c>
      <c r="T409">
        <v>0.5</v>
      </c>
      <c r="U409">
        <v>1.43</v>
      </c>
    </row>
    <row r="410" spans="1:21" x14ac:dyDescent="0.35">
      <c r="A410">
        <v>409</v>
      </c>
      <c r="B410" t="s">
        <v>380</v>
      </c>
      <c r="C410" s="1">
        <v>45426</v>
      </c>
      <c r="D410" s="1">
        <v>45430</v>
      </c>
      <c r="E410" t="s">
        <v>22</v>
      </c>
      <c r="F410" t="s">
        <v>261</v>
      </c>
      <c r="G410" t="s">
        <v>262</v>
      </c>
      <c r="H410" t="s">
        <v>38</v>
      </c>
      <c r="I410" t="s">
        <v>26</v>
      </c>
      <c r="J410" t="s">
        <v>263</v>
      </c>
      <c r="K410" t="s">
        <v>264</v>
      </c>
      <c r="L410">
        <v>60610</v>
      </c>
      <c r="M410" t="s">
        <v>41</v>
      </c>
      <c r="N410" t="s">
        <v>69</v>
      </c>
      <c r="O410" t="s">
        <v>43</v>
      </c>
      <c r="P410" t="s">
        <v>70</v>
      </c>
      <c r="Q410" t="s">
        <v>71</v>
      </c>
      <c r="R410">
        <v>144</v>
      </c>
      <c r="S410">
        <v>4</v>
      </c>
      <c r="T410">
        <v>0.2</v>
      </c>
      <c r="U410">
        <v>3.57</v>
      </c>
    </row>
    <row r="411" spans="1:21" x14ac:dyDescent="0.35">
      <c r="A411">
        <v>410</v>
      </c>
      <c r="B411" t="s">
        <v>380</v>
      </c>
      <c r="C411" s="1">
        <v>45426</v>
      </c>
      <c r="D411" s="1">
        <v>45430</v>
      </c>
      <c r="E411" t="s">
        <v>94</v>
      </c>
      <c r="F411" t="s">
        <v>261</v>
      </c>
      <c r="G411" t="s">
        <v>262</v>
      </c>
      <c r="H411" t="s">
        <v>38</v>
      </c>
      <c r="I411" t="s">
        <v>26</v>
      </c>
      <c r="J411" t="s">
        <v>263</v>
      </c>
      <c r="K411" t="s">
        <v>264</v>
      </c>
      <c r="L411">
        <v>60610</v>
      </c>
      <c r="M411" t="s">
        <v>41</v>
      </c>
      <c r="N411" t="s">
        <v>66</v>
      </c>
      <c r="O411" t="s">
        <v>47</v>
      </c>
      <c r="P411" t="s">
        <v>67</v>
      </c>
      <c r="Q411" t="s">
        <v>68</v>
      </c>
      <c r="R411">
        <v>1056</v>
      </c>
      <c r="S411">
        <v>4</v>
      </c>
      <c r="T411">
        <v>0.2</v>
      </c>
      <c r="U411">
        <v>53.51</v>
      </c>
    </row>
    <row r="412" spans="1:21" x14ac:dyDescent="0.35">
      <c r="A412">
        <v>411</v>
      </c>
      <c r="B412" t="s">
        <v>381</v>
      </c>
      <c r="C412" s="1">
        <v>45407</v>
      </c>
      <c r="D412" s="1">
        <v>45413</v>
      </c>
      <c r="E412" t="s">
        <v>22</v>
      </c>
      <c r="F412" t="s">
        <v>87</v>
      </c>
      <c r="G412" t="s">
        <v>88</v>
      </c>
      <c r="H412" t="s">
        <v>62</v>
      </c>
      <c r="I412" t="s">
        <v>26</v>
      </c>
      <c r="J412" t="s">
        <v>89</v>
      </c>
      <c r="K412" t="s">
        <v>90</v>
      </c>
      <c r="L412">
        <v>90036</v>
      </c>
      <c r="M412" t="s">
        <v>85</v>
      </c>
      <c r="N412" t="s">
        <v>66</v>
      </c>
      <c r="O412" t="s">
        <v>47</v>
      </c>
      <c r="P412" t="s">
        <v>67</v>
      </c>
      <c r="Q412" t="s">
        <v>68</v>
      </c>
      <c r="R412">
        <v>2310</v>
      </c>
      <c r="S412">
        <v>7</v>
      </c>
      <c r="T412">
        <v>0</v>
      </c>
      <c r="U412">
        <v>393.15</v>
      </c>
    </row>
    <row r="413" spans="1:21" x14ac:dyDescent="0.35">
      <c r="A413">
        <v>412</v>
      </c>
      <c r="B413" t="s">
        <v>381</v>
      </c>
      <c r="C413" s="1">
        <v>45407</v>
      </c>
      <c r="D413" s="1">
        <v>45413</v>
      </c>
      <c r="E413" t="s">
        <v>22</v>
      </c>
      <c r="F413" t="s">
        <v>87</v>
      </c>
      <c r="G413" t="s">
        <v>88</v>
      </c>
      <c r="H413" t="s">
        <v>62</v>
      </c>
      <c r="I413" t="s">
        <v>26</v>
      </c>
      <c r="J413" t="s">
        <v>89</v>
      </c>
      <c r="K413" t="s">
        <v>90</v>
      </c>
      <c r="L413">
        <v>90036</v>
      </c>
      <c r="M413" t="s">
        <v>85</v>
      </c>
      <c r="N413" t="s">
        <v>95</v>
      </c>
      <c r="O413" t="s">
        <v>47</v>
      </c>
      <c r="P413" t="s">
        <v>48</v>
      </c>
      <c r="Q413" t="s">
        <v>96</v>
      </c>
      <c r="R413">
        <v>15.4</v>
      </c>
      <c r="S413">
        <v>1</v>
      </c>
      <c r="T413">
        <v>0.3</v>
      </c>
      <c r="U413">
        <v>0.51</v>
      </c>
    </row>
    <row r="414" spans="1:21" x14ac:dyDescent="0.35">
      <c r="A414">
        <v>413</v>
      </c>
      <c r="B414" t="s">
        <v>382</v>
      </c>
      <c r="C414" s="1">
        <v>45571</v>
      </c>
      <c r="D414" s="1">
        <v>45574</v>
      </c>
      <c r="E414" t="s">
        <v>50</v>
      </c>
      <c r="F414" t="s">
        <v>157</v>
      </c>
      <c r="G414" t="s">
        <v>158</v>
      </c>
      <c r="H414" t="s">
        <v>62</v>
      </c>
      <c r="I414" t="s">
        <v>26</v>
      </c>
      <c r="J414" t="s">
        <v>89</v>
      </c>
      <c r="K414" t="s">
        <v>90</v>
      </c>
      <c r="L414">
        <v>90036</v>
      </c>
      <c r="M414" t="s">
        <v>85</v>
      </c>
      <c r="N414" t="s">
        <v>121</v>
      </c>
      <c r="O414" t="s">
        <v>47</v>
      </c>
      <c r="P414" t="s">
        <v>122</v>
      </c>
      <c r="Q414" t="s">
        <v>123</v>
      </c>
      <c r="R414">
        <v>2700</v>
      </c>
      <c r="S414">
        <v>5</v>
      </c>
      <c r="T414">
        <v>0</v>
      </c>
      <c r="U414">
        <v>512.78</v>
      </c>
    </row>
    <row r="415" spans="1:21" x14ac:dyDescent="0.35">
      <c r="A415">
        <v>414</v>
      </c>
      <c r="B415" t="s">
        <v>382</v>
      </c>
      <c r="C415" s="1">
        <v>45571</v>
      </c>
      <c r="D415" s="1">
        <v>45574</v>
      </c>
      <c r="E415" t="s">
        <v>50</v>
      </c>
      <c r="F415" t="s">
        <v>157</v>
      </c>
      <c r="G415" t="s">
        <v>158</v>
      </c>
      <c r="H415" t="s">
        <v>62</v>
      </c>
      <c r="I415" t="s">
        <v>26</v>
      </c>
      <c r="J415" t="s">
        <v>89</v>
      </c>
      <c r="K415" t="s">
        <v>90</v>
      </c>
      <c r="L415">
        <v>90036</v>
      </c>
      <c r="M415" t="s">
        <v>85</v>
      </c>
      <c r="N415" t="s">
        <v>42</v>
      </c>
      <c r="O415" t="s">
        <v>43</v>
      </c>
      <c r="P415" t="s">
        <v>44</v>
      </c>
      <c r="Q415" t="s">
        <v>45</v>
      </c>
      <c r="R415">
        <v>44.8</v>
      </c>
      <c r="S415">
        <v>4</v>
      </c>
      <c r="T415">
        <v>0.2</v>
      </c>
      <c r="U415">
        <v>12.26</v>
      </c>
    </row>
    <row r="416" spans="1:21" x14ac:dyDescent="0.35">
      <c r="A416">
        <v>415</v>
      </c>
      <c r="B416" t="s">
        <v>383</v>
      </c>
      <c r="C416" s="1">
        <v>45411</v>
      </c>
      <c r="D416" s="1">
        <v>45415</v>
      </c>
      <c r="E416" t="s">
        <v>94</v>
      </c>
      <c r="F416" t="s">
        <v>148</v>
      </c>
      <c r="G416" t="s">
        <v>149</v>
      </c>
      <c r="H416" t="s">
        <v>62</v>
      </c>
      <c r="I416" t="s">
        <v>26</v>
      </c>
      <c r="J416" t="s">
        <v>150</v>
      </c>
      <c r="K416" t="s">
        <v>151</v>
      </c>
      <c r="L416">
        <v>33311</v>
      </c>
      <c r="M416" t="s">
        <v>65</v>
      </c>
      <c r="N416" t="s">
        <v>69</v>
      </c>
      <c r="O416" t="s">
        <v>43</v>
      </c>
      <c r="P416" t="s">
        <v>70</v>
      </c>
      <c r="Q416" t="s">
        <v>71</v>
      </c>
      <c r="R416">
        <v>225</v>
      </c>
      <c r="S416">
        <v>5</v>
      </c>
      <c r="T416">
        <v>0</v>
      </c>
      <c r="U416">
        <v>35.32</v>
      </c>
    </row>
    <row r="417" spans="1:21" x14ac:dyDescent="0.35">
      <c r="A417">
        <v>416</v>
      </c>
      <c r="B417" t="s">
        <v>383</v>
      </c>
      <c r="C417" s="1">
        <v>45411</v>
      </c>
      <c r="D417" s="1">
        <v>45415</v>
      </c>
      <c r="E417" t="s">
        <v>22</v>
      </c>
      <c r="F417" t="s">
        <v>148</v>
      </c>
      <c r="G417" t="s">
        <v>149</v>
      </c>
      <c r="H417" t="s">
        <v>62</v>
      </c>
      <c r="I417" t="s">
        <v>26</v>
      </c>
      <c r="J417" t="s">
        <v>150</v>
      </c>
      <c r="K417" t="s">
        <v>151</v>
      </c>
      <c r="L417">
        <v>33311</v>
      </c>
      <c r="M417" t="s">
        <v>65</v>
      </c>
      <c r="N417" t="s">
        <v>77</v>
      </c>
      <c r="O417" t="s">
        <v>31</v>
      </c>
      <c r="P417" t="s">
        <v>78</v>
      </c>
      <c r="Q417" t="s">
        <v>79</v>
      </c>
      <c r="R417">
        <v>840</v>
      </c>
      <c r="S417">
        <v>2</v>
      </c>
      <c r="T417">
        <v>0</v>
      </c>
      <c r="U417">
        <v>-42.27</v>
      </c>
    </row>
    <row r="418" spans="1:21" x14ac:dyDescent="0.35">
      <c r="A418">
        <v>417</v>
      </c>
      <c r="B418" t="s">
        <v>383</v>
      </c>
      <c r="C418" s="1">
        <v>45411</v>
      </c>
      <c r="D418" s="1">
        <v>45415</v>
      </c>
      <c r="E418" t="s">
        <v>94</v>
      </c>
      <c r="F418" t="s">
        <v>148</v>
      </c>
      <c r="G418" t="s">
        <v>149</v>
      </c>
      <c r="H418" t="s">
        <v>62</v>
      </c>
      <c r="I418" t="s">
        <v>26</v>
      </c>
      <c r="J418" t="s">
        <v>150</v>
      </c>
      <c r="K418" t="s">
        <v>151</v>
      </c>
      <c r="L418">
        <v>33311</v>
      </c>
      <c r="M418" t="s">
        <v>65</v>
      </c>
      <c r="N418" t="s">
        <v>46</v>
      </c>
      <c r="O418" t="s">
        <v>47</v>
      </c>
      <c r="P418" t="s">
        <v>48</v>
      </c>
      <c r="Q418" t="s">
        <v>49</v>
      </c>
      <c r="R418">
        <v>192</v>
      </c>
      <c r="S418">
        <v>6</v>
      </c>
      <c r="T418">
        <v>0</v>
      </c>
      <c r="U418">
        <v>40.380000000000003</v>
      </c>
    </row>
    <row r="419" spans="1:21" x14ac:dyDescent="0.35">
      <c r="A419">
        <v>418</v>
      </c>
      <c r="B419" t="s">
        <v>384</v>
      </c>
      <c r="C419" s="1">
        <v>45474</v>
      </c>
      <c r="D419" s="1">
        <v>45479</v>
      </c>
      <c r="E419" t="s">
        <v>94</v>
      </c>
      <c r="F419" t="s">
        <v>182</v>
      </c>
      <c r="G419" t="s">
        <v>183</v>
      </c>
      <c r="H419" t="s">
        <v>25</v>
      </c>
      <c r="I419" t="s">
        <v>26</v>
      </c>
      <c r="J419" t="s">
        <v>162</v>
      </c>
      <c r="K419" t="s">
        <v>163</v>
      </c>
      <c r="L419">
        <v>28205</v>
      </c>
      <c r="M419" t="s">
        <v>65</v>
      </c>
      <c r="N419" t="s">
        <v>95</v>
      </c>
      <c r="O419" t="s">
        <v>47</v>
      </c>
      <c r="P419" t="s">
        <v>48</v>
      </c>
      <c r="Q419" t="s">
        <v>96</v>
      </c>
      <c r="R419">
        <v>77</v>
      </c>
      <c r="S419">
        <v>5</v>
      </c>
      <c r="T419">
        <v>0.3</v>
      </c>
      <c r="U419">
        <v>10.31</v>
      </c>
    </row>
    <row r="420" spans="1:21" x14ac:dyDescent="0.35">
      <c r="A420">
        <v>419</v>
      </c>
      <c r="B420" t="s">
        <v>385</v>
      </c>
      <c r="C420" s="1">
        <v>45399</v>
      </c>
      <c r="D420" s="1">
        <v>45401</v>
      </c>
      <c r="E420" t="s">
        <v>94</v>
      </c>
      <c r="F420" t="s">
        <v>373</v>
      </c>
      <c r="G420" t="s">
        <v>374</v>
      </c>
      <c r="H420" t="s">
        <v>38</v>
      </c>
      <c r="I420" t="s">
        <v>26</v>
      </c>
      <c r="J420" t="s">
        <v>63</v>
      </c>
      <c r="K420" t="s">
        <v>64</v>
      </c>
      <c r="L420">
        <v>37211</v>
      </c>
      <c r="M420" t="s">
        <v>65</v>
      </c>
      <c r="N420" t="s">
        <v>42</v>
      </c>
      <c r="O420" t="s">
        <v>43</v>
      </c>
      <c r="P420" t="s">
        <v>44</v>
      </c>
      <c r="Q420" t="s">
        <v>45</v>
      </c>
      <c r="R420">
        <v>25.2</v>
      </c>
      <c r="S420">
        <v>2</v>
      </c>
      <c r="T420">
        <v>0.1</v>
      </c>
      <c r="U420">
        <v>7.88</v>
      </c>
    </row>
    <row r="421" spans="1:21" x14ac:dyDescent="0.35">
      <c r="A421">
        <v>420</v>
      </c>
      <c r="B421" t="s">
        <v>385</v>
      </c>
      <c r="C421" s="1">
        <v>45399</v>
      </c>
      <c r="D421" s="1">
        <v>45401</v>
      </c>
      <c r="E421" t="s">
        <v>50</v>
      </c>
      <c r="F421" t="s">
        <v>373</v>
      </c>
      <c r="G421" t="s">
        <v>374</v>
      </c>
      <c r="H421" t="s">
        <v>38</v>
      </c>
      <c r="I421" t="s">
        <v>26</v>
      </c>
      <c r="J421" t="s">
        <v>63</v>
      </c>
      <c r="K421" t="s">
        <v>64</v>
      </c>
      <c r="L421">
        <v>37211</v>
      </c>
      <c r="M421" t="s">
        <v>65</v>
      </c>
      <c r="N421" t="s">
        <v>30</v>
      </c>
      <c r="O421" t="s">
        <v>31</v>
      </c>
      <c r="P421" t="s">
        <v>32</v>
      </c>
      <c r="Q421" t="s">
        <v>33</v>
      </c>
      <c r="R421">
        <v>1150</v>
      </c>
      <c r="S421">
        <v>5</v>
      </c>
      <c r="T421">
        <v>0</v>
      </c>
      <c r="U421">
        <v>136.49</v>
      </c>
    </row>
    <row r="422" spans="1:21" x14ac:dyDescent="0.35">
      <c r="A422">
        <v>421</v>
      </c>
      <c r="B422" t="s">
        <v>385</v>
      </c>
      <c r="C422" s="1">
        <v>45399</v>
      </c>
      <c r="D422" s="1">
        <v>45401</v>
      </c>
      <c r="E422" t="s">
        <v>94</v>
      </c>
      <c r="F422" t="s">
        <v>373</v>
      </c>
      <c r="G422" t="s">
        <v>374</v>
      </c>
      <c r="H422" t="s">
        <v>38</v>
      </c>
      <c r="I422" t="s">
        <v>26</v>
      </c>
      <c r="J422" t="s">
        <v>63</v>
      </c>
      <c r="K422" t="s">
        <v>64</v>
      </c>
      <c r="L422">
        <v>37211</v>
      </c>
      <c r="M422" t="s">
        <v>65</v>
      </c>
      <c r="N422" t="s">
        <v>77</v>
      </c>
      <c r="O422" t="s">
        <v>31</v>
      </c>
      <c r="P422" t="s">
        <v>78</v>
      </c>
      <c r="Q422" t="s">
        <v>79</v>
      </c>
      <c r="R422">
        <v>2058</v>
      </c>
      <c r="S422">
        <v>7</v>
      </c>
      <c r="T422">
        <v>0.3</v>
      </c>
      <c r="U422">
        <v>-474.83</v>
      </c>
    </row>
    <row r="423" spans="1:21" x14ac:dyDescent="0.35">
      <c r="A423">
        <v>422</v>
      </c>
      <c r="B423" t="s">
        <v>386</v>
      </c>
      <c r="C423" s="1">
        <v>45608</v>
      </c>
      <c r="D423" s="1">
        <v>45610</v>
      </c>
      <c r="E423" t="s">
        <v>35</v>
      </c>
      <c r="F423" t="s">
        <v>250</v>
      </c>
      <c r="G423" t="s">
        <v>251</v>
      </c>
      <c r="H423" t="s">
        <v>38</v>
      </c>
      <c r="I423" t="s">
        <v>26</v>
      </c>
      <c r="J423" t="s">
        <v>229</v>
      </c>
      <c r="K423" t="s">
        <v>230</v>
      </c>
      <c r="L423">
        <v>30318</v>
      </c>
      <c r="M423" t="s">
        <v>65</v>
      </c>
      <c r="N423" t="s">
        <v>77</v>
      </c>
      <c r="O423" t="s">
        <v>31</v>
      </c>
      <c r="P423" t="s">
        <v>78</v>
      </c>
      <c r="Q423" t="s">
        <v>79</v>
      </c>
      <c r="R423">
        <v>840</v>
      </c>
      <c r="S423">
        <v>2</v>
      </c>
      <c r="T423">
        <v>0</v>
      </c>
      <c r="U423">
        <v>-41.26</v>
      </c>
    </row>
    <row r="424" spans="1:21" x14ac:dyDescent="0.35">
      <c r="A424">
        <v>423</v>
      </c>
      <c r="B424" t="s">
        <v>386</v>
      </c>
      <c r="C424" s="1">
        <v>45608</v>
      </c>
      <c r="D424" s="1">
        <v>45610</v>
      </c>
      <c r="E424" t="s">
        <v>22</v>
      </c>
      <c r="F424" t="s">
        <v>250</v>
      </c>
      <c r="G424" t="s">
        <v>251</v>
      </c>
      <c r="H424" t="s">
        <v>38</v>
      </c>
      <c r="I424" t="s">
        <v>26</v>
      </c>
      <c r="J424" t="s">
        <v>229</v>
      </c>
      <c r="K424" t="s">
        <v>230</v>
      </c>
      <c r="L424">
        <v>30318</v>
      </c>
      <c r="M424" t="s">
        <v>65</v>
      </c>
      <c r="N424" t="s">
        <v>46</v>
      </c>
      <c r="O424" t="s">
        <v>47</v>
      </c>
      <c r="P424" t="s">
        <v>48</v>
      </c>
      <c r="Q424" t="s">
        <v>49</v>
      </c>
      <c r="R424">
        <v>96</v>
      </c>
      <c r="S424">
        <v>3</v>
      </c>
      <c r="T424">
        <v>0</v>
      </c>
      <c r="U424">
        <v>20.72</v>
      </c>
    </row>
    <row r="425" spans="1:21" x14ac:dyDescent="0.35">
      <c r="A425">
        <v>424</v>
      </c>
      <c r="B425" t="s">
        <v>387</v>
      </c>
      <c r="C425" s="1">
        <v>45806</v>
      </c>
      <c r="D425" s="1">
        <v>45809</v>
      </c>
      <c r="E425" t="s">
        <v>35</v>
      </c>
      <c r="F425" t="s">
        <v>227</v>
      </c>
      <c r="G425" t="s">
        <v>228</v>
      </c>
      <c r="H425" t="s">
        <v>25</v>
      </c>
      <c r="I425" t="s">
        <v>26</v>
      </c>
      <c r="J425" t="s">
        <v>229</v>
      </c>
      <c r="K425" t="s">
        <v>230</v>
      </c>
      <c r="L425">
        <v>30318</v>
      </c>
      <c r="M425" t="s">
        <v>65</v>
      </c>
      <c r="N425" t="s">
        <v>97</v>
      </c>
      <c r="O425" t="s">
        <v>31</v>
      </c>
      <c r="P425" t="s">
        <v>98</v>
      </c>
      <c r="Q425" t="s">
        <v>99</v>
      </c>
      <c r="R425">
        <v>364</v>
      </c>
      <c r="S425">
        <v>2</v>
      </c>
      <c r="T425">
        <v>0.3</v>
      </c>
      <c r="U425">
        <v>-28</v>
      </c>
    </row>
    <row r="426" spans="1:21" x14ac:dyDescent="0.35">
      <c r="A426">
        <v>425</v>
      </c>
      <c r="B426" t="s">
        <v>387</v>
      </c>
      <c r="C426" s="1">
        <v>45806</v>
      </c>
      <c r="D426" s="1">
        <v>45809</v>
      </c>
      <c r="E426" t="s">
        <v>94</v>
      </c>
      <c r="F426" t="s">
        <v>227</v>
      </c>
      <c r="G426" t="s">
        <v>228</v>
      </c>
      <c r="H426" t="s">
        <v>25</v>
      </c>
      <c r="I426" t="s">
        <v>26</v>
      </c>
      <c r="J426" t="s">
        <v>229</v>
      </c>
      <c r="K426" t="s">
        <v>230</v>
      </c>
      <c r="L426">
        <v>30318</v>
      </c>
      <c r="M426" t="s">
        <v>65</v>
      </c>
      <c r="N426" t="s">
        <v>121</v>
      </c>
      <c r="O426" t="s">
        <v>47</v>
      </c>
      <c r="P426" t="s">
        <v>122</v>
      </c>
      <c r="Q426" t="s">
        <v>123</v>
      </c>
      <c r="R426">
        <v>3780</v>
      </c>
      <c r="S426">
        <v>7</v>
      </c>
      <c r="T426">
        <v>0</v>
      </c>
      <c r="U426">
        <v>720.1</v>
      </c>
    </row>
    <row r="427" spans="1:21" x14ac:dyDescent="0.35">
      <c r="A427">
        <v>426</v>
      </c>
      <c r="B427" t="s">
        <v>387</v>
      </c>
      <c r="C427" s="1">
        <v>45806</v>
      </c>
      <c r="D427" s="1">
        <v>45809</v>
      </c>
      <c r="E427" t="s">
        <v>22</v>
      </c>
      <c r="F427" t="s">
        <v>227</v>
      </c>
      <c r="G427" t="s">
        <v>228</v>
      </c>
      <c r="H427" t="s">
        <v>25</v>
      </c>
      <c r="I427" t="s">
        <v>26</v>
      </c>
      <c r="J427" t="s">
        <v>229</v>
      </c>
      <c r="K427" t="s">
        <v>230</v>
      </c>
      <c r="L427">
        <v>30318</v>
      </c>
      <c r="M427" t="s">
        <v>65</v>
      </c>
      <c r="N427" t="s">
        <v>30</v>
      </c>
      <c r="O427" t="s">
        <v>31</v>
      </c>
      <c r="P427" t="s">
        <v>32</v>
      </c>
      <c r="Q427" t="s">
        <v>33</v>
      </c>
      <c r="R427">
        <v>1380</v>
      </c>
      <c r="S427">
        <v>6</v>
      </c>
      <c r="T427">
        <v>0</v>
      </c>
      <c r="U427">
        <v>164.2</v>
      </c>
    </row>
    <row r="428" spans="1:21" x14ac:dyDescent="0.35">
      <c r="A428">
        <v>427</v>
      </c>
      <c r="B428" t="s">
        <v>388</v>
      </c>
      <c r="C428" s="1">
        <v>45652</v>
      </c>
      <c r="D428" s="1">
        <v>45655</v>
      </c>
      <c r="E428" t="s">
        <v>35</v>
      </c>
      <c r="F428" t="s">
        <v>169</v>
      </c>
      <c r="G428" t="s">
        <v>170</v>
      </c>
      <c r="H428" t="s">
        <v>38</v>
      </c>
      <c r="I428" t="s">
        <v>26</v>
      </c>
      <c r="J428" t="s">
        <v>57</v>
      </c>
      <c r="K428" t="s">
        <v>58</v>
      </c>
      <c r="L428">
        <v>10009</v>
      </c>
      <c r="M428" t="s">
        <v>29</v>
      </c>
      <c r="N428" t="s">
        <v>113</v>
      </c>
      <c r="O428" t="s">
        <v>43</v>
      </c>
      <c r="P428" t="s">
        <v>114</v>
      </c>
      <c r="Q428" t="s">
        <v>115</v>
      </c>
      <c r="R428">
        <v>55</v>
      </c>
      <c r="S428">
        <v>5</v>
      </c>
      <c r="T428">
        <v>0</v>
      </c>
      <c r="U428">
        <v>18.34</v>
      </c>
    </row>
    <row r="429" spans="1:21" x14ac:dyDescent="0.35">
      <c r="A429">
        <v>428</v>
      </c>
      <c r="B429" t="s">
        <v>388</v>
      </c>
      <c r="C429" s="1">
        <v>45652</v>
      </c>
      <c r="D429" s="1">
        <v>45655</v>
      </c>
      <c r="E429" t="s">
        <v>50</v>
      </c>
      <c r="F429" t="s">
        <v>169</v>
      </c>
      <c r="G429" t="s">
        <v>170</v>
      </c>
      <c r="H429" t="s">
        <v>38</v>
      </c>
      <c r="I429" t="s">
        <v>26</v>
      </c>
      <c r="J429" t="s">
        <v>57</v>
      </c>
      <c r="K429" t="s">
        <v>58</v>
      </c>
      <c r="L429">
        <v>10009</v>
      </c>
      <c r="M429" t="s">
        <v>29</v>
      </c>
      <c r="N429" t="s">
        <v>125</v>
      </c>
      <c r="O429" t="s">
        <v>43</v>
      </c>
      <c r="P429" t="s">
        <v>126</v>
      </c>
      <c r="Q429" t="s">
        <v>127</v>
      </c>
      <c r="R429">
        <v>600</v>
      </c>
      <c r="S429">
        <v>5</v>
      </c>
      <c r="T429">
        <v>0</v>
      </c>
      <c r="U429">
        <v>106.49</v>
      </c>
    </row>
    <row r="430" spans="1:21" x14ac:dyDescent="0.35">
      <c r="A430">
        <v>429</v>
      </c>
      <c r="B430" t="s">
        <v>388</v>
      </c>
      <c r="C430" s="1">
        <v>45652</v>
      </c>
      <c r="D430" s="1">
        <v>45655</v>
      </c>
      <c r="E430" t="s">
        <v>50</v>
      </c>
      <c r="F430" t="s">
        <v>169</v>
      </c>
      <c r="G430" t="s">
        <v>170</v>
      </c>
      <c r="H430" t="s">
        <v>38</v>
      </c>
      <c r="I430" t="s">
        <v>26</v>
      </c>
      <c r="J430" t="s">
        <v>57</v>
      </c>
      <c r="K430" t="s">
        <v>58</v>
      </c>
      <c r="L430">
        <v>10009</v>
      </c>
      <c r="M430" t="s">
        <v>29</v>
      </c>
      <c r="N430" t="s">
        <v>51</v>
      </c>
      <c r="O430" t="s">
        <v>43</v>
      </c>
      <c r="P430" t="s">
        <v>52</v>
      </c>
      <c r="Q430" t="s">
        <v>53</v>
      </c>
      <c r="R430">
        <v>16</v>
      </c>
      <c r="S430">
        <v>2</v>
      </c>
      <c r="T430">
        <v>0</v>
      </c>
      <c r="U430">
        <v>5.0199999999999996</v>
      </c>
    </row>
    <row r="431" spans="1:21" x14ac:dyDescent="0.35">
      <c r="A431">
        <v>430</v>
      </c>
      <c r="B431" t="s">
        <v>388</v>
      </c>
      <c r="C431" s="1">
        <v>45652</v>
      </c>
      <c r="D431" s="1">
        <v>45655</v>
      </c>
      <c r="E431" t="s">
        <v>35</v>
      </c>
      <c r="F431" t="s">
        <v>169</v>
      </c>
      <c r="G431" t="s">
        <v>170</v>
      </c>
      <c r="H431" t="s">
        <v>38</v>
      </c>
      <c r="I431" t="s">
        <v>26</v>
      </c>
      <c r="J431" t="s">
        <v>57</v>
      </c>
      <c r="K431" t="s">
        <v>58</v>
      </c>
      <c r="L431">
        <v>10009</v>
      </c>
      <c r="M431" t="s">
        <v>29</v>
      </c>
      <c r="N431" t="s">
        <v>77</v>
      </c>
      <c r="O431" t="s">
        <v>31</v>
      </c>
      <c r="P431" t="s">
        <v>78</v>
      </c>
      <c r="Q431" t="s">
        <v>79</v>
      </c>
      <c r="R431">
        <v>882</v>
      </c>
      <c r="S431">
        <v>3</v>
      </c>
      <c r="T431">
        <v>0.3</v>
      </c>
      <c r="U431">
        <v>-202.12</v>
      </c>
    </row>
    <row r="432" spans="1:21" x14ac:dyDescent="0.35">
      <c r="A432">
        <v>431</v>
      </c>
      <c r="B432" t="s">
        <v>389</v>
      </c>
      <c r="C432" s="1">
        <v>45417</v>
      </c>
      <c r="D432" s="1">
        <v>45418</v>
      </c>
      <c r="E432" t="s">
        <v>22</v>
      </c>
      <c r="F432" t="s">
        <v>101</v>
      </c>
      <c r="G432" t="s">
        <v>102</v>
      </c>
      <c r="H432" t="s">
        <v>62</v>
      </c>
      <c r="I432" t="s">
        <v>26</v>
      </c>
      <c r="J432" t="s">
        <v>63</v>
      </c>
      <c r="K432" t="s">
        <v>64</v>
      </c>
      <c r="L432">
        <v>37211</v>
      </c>
      <c r="M432" t="s">
        <v>65</v>
      </c>
      <c r="N432" t="s">
        <v>95</v>
      </c>
      <c r="O432" t="s">
        <v>47</v>
      </c>
      <c r="P432" t="s">
        <v>48</v>
      </c>
      <c r="Q432" t="s">
        <v>96</v>
      </c>
      <c r="R432">
        <v>132</v>
      </c>
      <c r="S432">
        <v>6</v>
      </c>
      <c r="T432">
        <v>0</v>
      </c>
      <c r="U432">
        <v>38.18</v>
      </c>
    </row>
    <row r="433" spans="1:21" x14ac:dyDescent="0.35">
      <c r="A433">
        <v>432</v>
      </c>
      <c r="B433" t="s">
        <v>389</v>
      </c>
      <c r="C433" s="1">
        <v>45417</v>
      </c>
      <c r="D433" s="1">
        <v>45418</v>
      </c>
      <c r="E433" t="s">
        <v>22</v>
      </c>
      <c r="F433" t="s">
        <v>101</v>
      </c>
      <c r="G433" t="s">
        <v>102</v>
      </c>
      <c r="H433" t="s">
        <v>62</v>
      </c>
      <c r="I433" t="s">
        <v>26</v>
      </c>
      <c r="J433" t="s">
        <v>63</v>
      </c>
      <c r="K433" t="s">
        <v>64</v>
      </c>
      <c r="L433">
        <v>37211</v>
      </c>
      <c r="M433" t="s">
        <v>65</v>
      </c>
      <c r="N433" t="s">
        <v>42</v>
      </c>
      <c r="O433" t="s">
        <v>43</v>
      </c>
      <c r="P433" t="s">
        <v>44</v>
      </c>
      <c r="Q433" t="s">
        <v>45</v>
      </c>
      <c r="R433">
        <v>28</v>
      </c>
      <c r="S433">
        <v>2</v>
      </c>
      <c r="T433">
        <v>0</v>
      </c>
      <c r="U433">
        <v>11.84</v>
      </c>
    </row>
    <row r="434" spans="1:21" x14ac:dyDescent="0.35">
      <c r="A434">
        <v>433</v>
      </c>
      <c r="B434" t="s">
        <v>389</v>
      </c>
      <c r="C434" s="1">
        <v>45417</v>
      </c>
      <c r="D434" s="1">
        <v>45418</v>
      </c>
      <c r="E434" t="s">
        <v>35</v>
      </c>
      <c r="F434" t="s">
        <v>101</v>
      </c>
      <c r="G434" t="s">
        <v>102</v>
      </c>
      <c r="H434" t="s">
        <v>62</v>
      </c>
      <c r="I434" t="s">
        <v>26</v>
      </c>
      <c r="J434" t="s">
        <v>63</v>
      </c>
      <c r="K434" t="s">
        <v>64</v>
      </c>
      <c r="L434">
        <v>37211</v>
      </c>
      <c r="M434" t="s">
        <v>65</v>
      </c>
      <c r="N434" t="s">
        <v>121</v>
      </c>
      <c r="O434" t="s">
        <v>47</v>
      </c>
      <c r="P434" t="s">
        <v>122</v>
      </c>
      <c r="Q434" t="s">
        <v>123</v>
      </c>
      <c r="R434">
        <v>1728</v>
      </c>
      <c r="S434">
        <v>4</v>
      </c>
      <c r="T434">
        <v>0.2</v>
      </c>
      <c r="U434">
        <v>122.38</v>
      </c>
    </row>
    <row r="435" spans="1:21" x14ac:dyDescent="0.35">
      <c r="A435">
        <v>434</v>
      </c>
      <c r="B435" t="s">
        <v>389</v>
      </c>
      <c r="C435" s="1">
        <v>45417</v>
      </c>
      <c r="D435" s="1">
        <v>45418</v>
      </c>
      <c r="E435" t="s">
        <v>22</v>
      </c>
      <c r="F435" t="s">
        <v>101</v>
      </c>
      <c r="G435" t="s">
        <v>102</v>
      </c>
      <c r="H435" t="s">
        <v>62</v>
      </c>
      <c r="I435" t="s">
        <v>26</v>
      </c>
      <c r="J435" t="s">
        <v>63</v>
      </c>
      <c r="K435" t="s">
        <v>64</v>
      </c>
      <c r="L435">
        <v>37211</v>
      </c>
      <c r="M435" t="s">
        <v>65</v>
      </c>
      <c r="N435" t="s">
        <v>77</v>
      </c>
      <c r="O435" t="s">
        <v>31</v>
      </c>
      <c r="P435" t="s">
        <v>78</v>
      </c>
      <c r="Q435" t="s">
        <v>79</v>
      </c>
      <c r="R435">
        <v>1134</v>
      </c>
      <c r="S435">
        <v>3</v>
      </c>
      <c r="T435">
        <v>0.1</v>
      </c>
      <c r="U435">
        <v>-124.9</v>
      </c>
    </row>
    <row r="436" spans="1:21" x14ac:dyDescent="0.35">
      <c r="A436">
        <v>435</v>
      </c>
      <c r="B436" t="s">
        <v>390</v>
      </c>
      <c r="C436" s="1">
        <v>45905</v>
      </c>
      <c r="D436" s="1">
        <v>45908</v>
      </c>
      <c r="E436" t="s">
        <v>94</v>
      </c>
      <c r="F436" t="s">
        <v>148</v>
      </c>
      <c r="G436" t="s">
        <v>149</v>
      </c>
      <c r="H436" t="s">
        <v>62</v>
      </c>
      <c r="I436" t="s">
        <v>26</v>
      </c>
      <c r="J436" t="s">
        <v>150</v>
      </c>
      <c r="K436" t="s">
        <v>151</v>
      </c>
      <c r="L436">
        <v>33311</v>
      </c>
      <c r="M436" t="s">
        <v>65</v>
      </c>
      <c r="N436" t="s">
        <v>42</v>
      </c>
      <c r="O436" t="s">
        <v>43</v>
      </c>
      <c r="P436" t="s">
        <v>44</v>
      </c>
      <c r="Q436" t="s">
        <v>45</v>
      </c>
      <c r="R436">
        <v>78.400000000000006</v>
      </c>
      <c r="S436">
        <v>7</v>
      </c>
      <c r="T436">
        <v>0.2</v>
      </c>
      <c r="U436">
        <v>20.32</v>
      </c>
    </row>
    <row r="437" spans="1:21" x14ac:dyDescent="0.35">
      <c r="A437">
        <v>436</v>
      </c>
      <c r="B437" t="s">
        <v>390</v>
      </c>
      <c r="C437" s="1">
        <v>45905</v>
      </c>
      <c r="D437" s="1">
        <v>45908</v>
      </c>
      <c r="E437" t="s">
        <v>94</v>
      </c>
      <c r="F437" t="s">
        <v>148</v>
      </c>
      <c r="G437" t="s">
        <v>149</v>
      </c>
      <c r="H437" t="s">
        <v>62</v>
      </c>
      <c r="I437" t="s">
        <v>26</v>
      </c>
      <c r="J437" t="s">
        <v>150</v>
      </c>
      <c r="K437" t="s">
        <v>151</v>
      </c>
      <c r="L437">
        <v>33311</v>
      </c>
      <c r="M437" t="s">
        <v>65</v>
      </c>
      <c r="N437" t="s">
        <v>103</v>
      </c>
      <c r="O437" t="s">
        <v>47</v>
      </c>
      <c r="P437" t="s">
        <v>104</v>
      </c>
      <c r="Q437" t="s">
        <v>105</v>
      </c>
      <c r="R437">
        <v>4450</v>
      </c>
      <c r="S437">
        <v>5</v>
      </c>
      <c r="T437">
        <v>0</v>
      </c>
      <c r="U437">
        <v>888.81</v>
      </c>
    </row>
    <row r="438" spans="1:21" x14ac:dyDescent="0.35">
      <c r="A438">
        <v>437</v>
      </c>
      <c r="B438" t="s">
        <v>390</v>
      </c>
      <c r="C438" s="1">
        <v>45905</v>
      </c>
      <c r="D438" s="1">
        <v>45908</v>
      </c>
      <c r="E438" t="s">
        <v>35</v>
      </c>
      <c r="F438" t="s">
        <v>148</v>
      </c>
      <c r="G438" t="s">
        <v>149</v>
      </c>
      <c r="H438" t="s">
        <v>62</v>
      </c>
      <c r="I438" t="s">
        <v>26</v>
      </c>
      <c r="J438" t="s">
        <v>150</v>
      </c>
      <c r="K438" t="s">
        <v>151</v>
      </c>
      <c r="L438">
        <v>33311</v>
      </c>
      <c r="M438" t="s">
        <v>65</v>
      </c>
      <c r="N438" t="s">
        <v>95</v>
      </c>
      <c r="O438" t="s">
        <v>47</v>
      </c>
      <c r="P438" t="s">
        <v>48</v>
      </c>
      <c r="Q438" t="s">
        <v>96</v>
      </c>
      <c r="R438">
        <v>154</v>
      </c>
      <c r="S438">
        <v>7</v>
      </c>
      <c r="T438">
        <v>0</v>
      </c>
      <c r="U438">
        <v>46.91</v>
      </c>
    </row>
    <row r="439" spans="1:21" x14ac:dyDescent="0.35">
      <c r="A439">
        <v>438</v>
      </c>
      <c r="B439" t="s">
        <v>391</v>
      </c>
      <c r="C439" s="1">
        <v>45303</v>
      </c>
      <c r="D439" s="1">
        <v>45306</v>
      </c>
      <c r="E439" t="s">
        <v>94</v>
      </c>
      <c r="F439" t="s">
        <v>55</v>
      </c>
      <c r="G439" t="s">
        <v>56</v>
      </c>
      <c r="H439" t="s">
        <v>38</v>
      </c>
      <c r="I439" t="s">
        <v>26</v>
      </c>
      <c r="J439" t="s">
        <v>57</v>
      </c>
      <c r="K439" t="s">
        <v>58</v>
      </c>
      <c r="L439">
        <v>10009</v>
      </c>
      <c r="M439" t="s">
        <v>29</v>
      </c>
      <c r="N439" t="s">
        <v>103</v>
      </c>
      <c r="O439" t="s">
        <v>47</v>
      </c>
      <c r="P439" t="s">
        <v>104</v>
      </c>
      <c r="Q439" t="s">
        <v>105</v>
      </c>
      <c r="R439">
        <v>1424</v>
      </c>
      <c r="S439">
        <v>2</v>
      </c>
      <c r="T439">
        <v>0.2</v>
      </c>
      <c r="U439">
        <v>115.32</v>
      </c>
    </row>
    <row r="440" spans="1:21" x14ac:dyDescent="0.35">
      <c r="A440">
        <v>439</v>
      </c>
      <c r="B440" t="s">
        <v>391</v>
      </c>
      <c r="C440" s="1">
        <v>45303</v>
      </c>
      <c r="D440" s="1">
        <v>45306</v>
      </c>
      <c r="E440" t="s">
        <v>94</v>
      </c>
      <c r="F440" t="s">
        <v>55</v>
      </c>
      <c r="G440" t="s">
        <v>56</v>
      </c>
      <c r="H440" t="s">
        <v>38</v>
      </c>
      <c r="I440" t="s">
        <v>26</v>
      </c>
      <c r="J440" t="s">
        <v>57</v>
      </c>
      <c r="K440" t="s">
        <v>58</v>
      </c>
      <c r="L440">
        <v>10009</v>
      </c>
      <c r="M440" t="s">
        <v>29</v>
      </c>
      <c r="N440" t="s">
        <v>97</v>
      </c>
      <c r="O440" t="s">
        <v>31</v>
      </c>
      <c r="P440" t="s">
        <v>98</v>
      </c>
      <c r="Q440" t="s">
        <v>99</v>
      </c>
      <c r="R440">
        <v>208</v>
      </c>
      <c r="S440">
        <v>1</v>
      </c>
      <c r="T440">
        <v>0.2</v>
      </c>
      <c r="U440">
        <v>-2.34</v>
      </c>
    </row>
    <row r="441" spans="1:21" x14ac:dyDescent="0.35">
      <c r="A441">
        <v>440</v>
      </c>
      <c r="B441" t="s">
        <v>391</v>
      </c>
      <c r="C441" s="1">
        <v>45303</v>
      </c>
      <c r="D441" s="1">
        <v>45306</v>
      </c>
      <c r="E441" t="s">
        <v>22</v>
      </c>
      <c r="F441" t="s">
        <v>55</v>
      </c>
      <c r="G441" t="s">
        <v>56</v>
      </c>
      <c r="H441" t="s">
        <v>38</v>
      </c>
      <c r="I441" t="s">
        <v>26</v>
      </c>
      <c r="J441" t="s">
        <v>57</v>
      </c>
      <c r="K441" t="s">
        <v>58</v>
      </c>
      <c r="L441">
        <v>10009</v>
      </c>
      <c r="M441" t="s">
        <v>29</v>
      </c>
      <c r="N441" t="s">
        <v>113</v>
      </c>
      <c r="O441" t="s">
        <v>43</v>
      </c>
      <c r="P441" t="s">
        <v>114</v>
      </c>
      <c r="Q441" t="s">
        <v>115</v>
      </c>
      <c r="R441">
        <v>55</v>
      </c>
      <c r="S441">
        <v>5</v>
      </c>
      <c r="T441">
        <v>0</v>
      </c>
      <c r="U441">
        <v>19.239999999999998</v>
      </c>
    </row>
    <row r="442" spans="1:21" x14ac:dyDescent="0.35">
      <c r="A442">
        <v>441</v>
      </c>
      <c r="B442" t="s">
        <v>392</v>
      </c>
      <c r="C442" s="1">
        <v>45493</v>
      </c>
      <c r="D442" s="1">
        <v>45497</v>
      </c>
      <c r="E442" t="s">
        <v>22</v>
      </c>
      <c r="F442" t="s">
        <v>36</v>
      </c>
      <c r="G442" t="s">
        <v>37</v>
      </c>
      <c r="H442" t="s">
        <v>38</v>
      </c>
      <c r="I442" t="s">
        <v>26</v>
      </c>
      <c r="J442" t="s">
        <v>39</v>
      </c>
      <c r="K442" t="s">
        <v>40</v>
      </c>
      <c r="L442">
        <v>53711</v>
      </c>
      <c r="M442" t="s">
        <v>41</v>
      </c>
      <c r="N442" t="s">
        <v>109</v>
      </c>
      <c r="O442" t="s">
        <v>31</v>
      </c>
      <c r="P442" t="s">
        <v>110</v>
      </c>
      <c r="Q442" t="s">
        <v>111</v>
      </c>
      <c r="R442">
        <v>50</v>
      </c>
      <c r="S442">
        <v>2</v>
      </c>
      <c r="T442">
        <v>0</v>
      </c>
      <c r="U442">
        <v>12.42</v>
      </c>
    </row>
    <row r="443" spans="1:21" x14ac:dyDescent="0.35">
      <c r="A443">
        <v>442</v>
      </c>
      <c r="B443" t="s">
        <v>392</v>
      </c>
      <c r="C443" s="1">
        <v>45493</v>
      </c>
      <c r="D443" s="1">
        <v>45497</v>
      </c>
      <c r="E443" t="s">
        <v>94</v>
      </c>
      <c r="F443" t="s">
        <v>36</v>
      </c>
      <c r="G443" t="s">
        <v>37</v>
      </c>
      <c r="H443" t="s">
        <v>38</v>
      </c>
      <c r="I443" t="s">
        <v>26</v>
      </c>
      <c r="J443" t="s">
        <v>39</v>
      </c>
      <c r="K443" t="s">
        <v>40</v>
      </c>
      <c r="L443">
        <v>53711</v>
      </c>
      <c r="M443" t="s">
        <v>41</v>
      </c>
      <c r="N443" t="s">
        <v>106</v>
      </c>
      <c r="O443" t="s">
        <v>43</v>
      </c>
      <c r="P443" t="s">
        <v>107</v>
      </c>
      <c r="Q443" t="s">
        <v>108</v>
      </c>
      <c r="R443">
        <v>36</v>
      </c>
      <c r="S443">
        <v>5</v>
      </c>
      <c r="T443">
        <v>0.2</v>
      </c>
      <c r="U443">
        <v>5.49</v>
      </c>
    </row>
    <row r="444" spans="1:21" x14ac:dyDescent="0.35">
      <c r="A444">
        <v>443</v>
      </c>
      <c r="B444" t="s">
        <v>392</v>
      </c>
      <c r="C444" s="1">
        <v>45493</v>
      </c>
      <c r="D444" s="1">
        <v>45497</v>
      </c>
      <c r="E444" t="s">
        <v>22</v>
      </c>
      <c r="F444" t="s">
        <v>36</v>
      </c>
      <c r="G444" t="s">
        <v>37</v>
      </c>
      <c r="H444" t="s">
        <v>38</v>
      </c>
      <c r="I444" t="s">
        <v>26</v>
      </c>
      <c r="J444" t="s">
        <v>39</v>
      </c>
      <c r="K444" t="s">
        <v>40</v>
      </c>
      <c r="L444">
        <v>53711</v>
      </c>
      <c r="M444" t="s">
        <v>41</v>
      </c>
      <c r="N444" t="s">
        <v>30</v>
      </c>
      <c r="O444" t="s">
        <v>31</v>
      </c>
      <c r="P444" t="s">
        <v>32</v>
      </c>
      <c r="Q444" t="s">
        <v>33</v>
      </c>
      <c r="R444">
        <v>552</v>
      </c>
      <c r="S444">
        <v>3</v>
      </c>
      <c r="T444">
        <v>0.2</v>
      </c>
      <c r="U444">
        <v>1.7</v>
      </c>
    </row>
    <row r="445" spans="1:21" x14ac:dyDescent="0.35">
      <c r="A445">
        <v>444</v>
      </c>
      <c r="B445" t="s">
        <v>392</v>
      </c>
      <c r="C445" s="1">
        <v>45493</v>
      </c>
      <c r="D445" s="1">
        <v>45497</v>
      </c>
      <c r="E445" t="s">
        <v>94</v>
      </c>
      <c r="F445" t="s">
        <v>36</v>
      </c>
      <c r="G445" t="s">
        <v>37</v>
      </c>
      <c r="H445" t="s">
        <v>38</v>
      </c>
      <c r="I445" t="s">
        <v>26</v>
      </c>
      <c r="J445" t="s">
        <v>39</v>
      </c>
      <c r="K445" t="s">
        <v>40</v>
      </c>
      <c r="L445">
        <v>53711</v>
      </c>
      <c r="M445" t="s">
        <v>41</v>
      </c>
      <c r="N445" t="s">
        <v>77</v>
      </c>
      <c r="O445" t="s">
        <v>31</v>
      </c>
      <c r="P445" t="s">
        <v>78</v>
      </c>
      <c r="Q445" t="s">
        <v>79</v>
      </c>
      <c r="R445">
        <v>2100</v>
      </c>
      <c r="S445">
        <v>5</v>
      </c>
      <c r="T445">
        <v>0</v>
      </c>
      <c r="U445">
        <v>-103.97</v>
      </c>
    </row>
    <row r="446" spans="1:21" x14ac:dyDescent="0.35">
      <c r="A446">
        <v>445</v>
      </c>
      <c r="B446" t="s">
        <v>393</v>
      </c>
      <c r="C446" s="1">
        <v>45603</v>
      </c>
      <c r="D446" s="1">
        <v>45604</v>
      </c>
      <c r="E446" t="s">
        <v>35</v>
      </c>
      <c r="F446" t="s">
        <v>279</v>
      </c>
      <c r="G446" t="s">
        <v>280</v>
      </c>
      <c r="H446" t="s">
        <v>38</v>
      </c>
      <c r="I446" t="s">
        <v>26</v>
      </c>
      <c r="J446" t="s">
        <v>57</v>
      </c>
      <c r="K446" t="s">
        <v>58</v>
      </c>
      <c r="L446">
        <v>10009</v>
      </c>
      <c r="M446" t="s">
        <v>29</v>
      </c>
      <c r="N446" t="s">
        <v>77</v>
      </c>
      <c r="O446" t="s">
        <v>31</v>
      </c>
      <c r="P446" t="s">
        <v>78</v>
      </c>
      <c r="Q446" t="s">
        <v>79</v>
      </c>
      <c r="R446">
        <v>1344</v>
      </c>
      <c r="S446">
        <v>4</v>
      </c>
      <c r="T446">
        <v>0.2</v>
      </c>
      <c r="U446">
        <v>-227.95</v>
      </c>
    </row>
    <row r="447" spans="1:21" x14ac:dyDescent="0.35">
      <c r="A447">
        <v>446</v>
      </c>
      <c r="B447" t="s">
        <v>393</v>
      </c>
      <c r="C447" s="1">
        <v>45603</v>
      </c>
      <c r="D447" s="1">
        <v>45604</v>
      </c>
      <c r="E447" t="s">
        <v>22</v>
      </c>
      <c r="F447" t="s">
        <v>279</v>
      </c>
      <c r="G447" t="s">
        <v>280</v>
      </c>
      <c r="H447" t="s">
        <v>38</v>
      </c>
      <c r="I447" t="s">
        <v>26</v>
      </c>
      <c r="J447" t="s">
        <v>57</v>
      </c>
      <c r="K447" t="s">
        <v>58</v>
      </c>
      <c r="L447">
        <v>10009</v>
      </c>
      <c r="M447" t="s">
        <v>29</v>
      </c>
      <c r="N447" t="s">
        <v>51</v>
      </c>
      <c r="O447" t="s">
        <v>43</v>
      </c>
      <c r="P447" t="s">
        <v>52</v>
      </c>
      <c r="Q447" t="s">
        <v>53</v>
      </c>
      <c r="R447">
        <v>8</v>
      </c>
      <c r="S447">
        <v>1</v>
      </c>
      <c r="T447">
        <v>0</v>
      </c>
      <c r="U447">
        <v>3.09</v>
      </c>
    </row>
    <row r="448" spans="1:21" x14ac:dyDescent="0.35">
      <c r="A448">
        <v>447</v>
      </c>
      <c r="B448" t="s">
        <v>394</v>
      </c>
      <c r="C448" s="1">
        <v>46017</v>
      </c>
      <c r="D448" s="1">
        <v>46023</v>
      </c>
      <c r="E448" t="s">
        <v>35</v>
      </c>
      <c r="F448" t="s">
        <v>206</v>
      </c>
      <c r="G448" t="s">
        <v>207</v>
      </c>
      <c r="H448" t="s">
        <v>25</v>
      </c>
      <c r="I448" t="s">
        <v>26</v>
      </c>
      <c r="J448" t="s">
        <v>119</v>
      </c>
      <c r="K448" t="s">
        <v>120</v>
      </c>
      <c r="L448">
        <v>97206</v>
      </c>
      <c r="M448" t="s">
        <v>85</v>
      </c>
      <c r="N448" t="s">
        <v>66</v>
      </c>
      <c r="O448" t="s">
        <v>47</v>
      </c>
      <c r="P448" t="s">
        <v>67</v>
      </c>
      <c r="Q448" t="s">
        <v>68</v>
      </c>
      <c r="R448">
        <v>990</v>
      </c>
      <c r="S448">
        <v>3</v>
      </c>
      <c r="T448">
        <v>0</v>
      </c>
      <c r="U448">
        <v>168.78</v>
      </c>
    </row>
    <row r="449" spans="1:21" x14ac:dyDescent="0.35">
      <c r="A449">
        <v>448</v>
      </c>
      <c r="B449" t="s">
        <v>395</v>
      </c>
      <c r="C449" s="1">
        <v>45560</v>
      </c>
      <c r="D449" s="1">
        <v>45562</v>
      </c>
      <c r="E449" t="s">
        <v>22</v>
      </c>
      <c r="F449" t="s">
        <v>87</v>
      </c>
      <c r="G449" t="s">
        <v>88</v>
      </c>
      <c r="H449" t="s">
        <v>62</v>
      </c>
      <c r="I449" t="s">
        <v>26</v>
      </c>
      <c r="J449" t="s">
        <v>89</v>
      </c>
      <c r="K449" t="s">
        <v>90</v>
      </c>
      <c r="L449">
        <v>90036</v>
      </c>
      <c r="M449" t="s">
        <v>85</v>
      </c>
      <c r="N449" t="s">
        <v>46</v>
      </c>
      <c r="O449" t="s">
        <v>47</v>
      </c>
      <c r="P449" t="s">
        <v>48</v>
      </c>
      <c r="Q449" t="s">
        <v>49</v>
      </c>
      <c r="R449">
        <v>96</v>
      </c>
      <c r="S449">
        <v>3</v>
      </c>
      <c r="T449">
        <v>0</v>
      </c>
      <c r="U449">
        <v>22.94</v>
      </c>
    </row>
    <row r="450" spans="1:21" x14ac:dyDescent="0.35">
      <c r="A450">
        <v>449</v>
      </c>
      <c r="B450" t="s">
        <v>395</v>
      </c>
      <c r="C450" s="1">
        <v>45560</v>
      </c>
      <c r="D450" s="1">
        <v>45562</v>
      </c>
      <c r="E450" t="s">
        <v>35</v>
      </c>
      <c r="F450" t="s">
        <v>87</v>
      </c>
      <c r="G450" t="s">
        <v>88</v>
      </c>
      <c r="H450" t="s">
        <v>62</v>
      </c>
      <c r="I450" t="s">
        <v>26</v>
      </c>
      <c r="J450" t="s">
        <v>89</v>
      </c>
      <c r="K450" t="s">
        <v>90</v>
      </c>
      <c r="L450">
        <v>90036</v>
      </c>
      <c r="M450" t="s">
        <v>85</v>
      </c>
      <c r="N450" t="s">
        <v>51</v>
      </c>
      <c r="O450" t="s">
        <v>43</v>
      </c>
      <c r="P450" t="s">
        <v>52</v>
      </c>
      <c r="Q450" t="s">
        <v>53</v>
      </c>
      <c r="R450">
        <v>20</v>
      </c>
      <c r="S450">
        <v>5</v>
      </c>
      <c r="T450">
        <v>0.5</v>
      </c>
      <c r="U450">
        <v>0.79</v>
      </c>
    </row>
    <row r="451" spans="1:21" x14ac:dyDescent="0.35">
      <c r="A451">
        <v>450</v>
      </c>
      <c r="B451" t="s">
        <v>395</v>
      </c>
      <c r="C451" s="1">
        <v>45560</v>
      </c>
      <c r="D451" s="1">
        <v>45562</v>
      </c>
      <c r="E451" t="s">
        <v>35</v>
      </c>
      <c r="F451" t="s">
        <v>87</v>
      </c>
      <c r="G451" t="s">
        <v>88</v>
      </c>
      <c r="H451" t="s">
        <v>62</v>
      </c>
      <c r="I451" t="s">
        <v>26</v>
      </c>
      <c r="J451" t="s">
        <v>89</v>
      </c>
      <c r="K451" t="s">
        <v>90</v>
      </c>
      <c r="L451">
        <v>90036</v>
      </c>
      <c r="M451" t="s">
        <v>85</v>
      </c>
      <c r="N451" t="s">
        <v>69</v>
      </c>
      <c r="O451" t="s">
        <v>43</v>
      </c>
      <c r="P451" t="s">
        <v>70</v>
      </c>
      <c r="Q451" t="s">
        <v>71</v>
      </c>
      <c r="R451">
        <v>94.5</v>
      </c>
      <c r="S451">
        <v>3</v>
      </c>
      <c r="T451">
        <v>0.3</v>
      </c>
      <c r="U451">
        <v>-2.08</v>
      </c>
    </row>
    <row r="452" spans="1:21" x14ac:dyDescent="0.35">
      <c r="A452">
        <v>451</v>
      </c>
      <c r="B452" t="s">
        <v>395</v>
      </c>
      <c r="C452" s="1">
        <v>45560</v>
      </c>
      <c r="D452" s="1">
        <v>45562</v>
      </c>
      <c r="E452" t="s">
        <v>22</v>
      </c>
      <c r="F452" t="s">
        <v>87</v>
      </c>
      <c r="G452" t="s">
        <v>88</v>
      </c>
      <c r="H452" t="s">
        <v>62</v>
      </c>
      <c r="I452" t="s">
        <v>26</v>
      </c>
      <c r="J452" t="s">
        <v>89</v>
      </c>
      <c r="K452" t="s">
        <v>90</v>
      </c>
      <c r="L452">
        <v>90036</v>
      </c>
      <c r="M452" t="s">
        <v>85</v>
      </c>
      <c r="N452" t="s">
        <v>103</v>
      </c>
      <c r="O452" t="s">
        <v>47</v>
      </c>
      <c r="P452" t="s">
        <v>104</v>
      </c>
      <c r="Q452" t="s">
        <v>105</v>
      </c>
      <c r="R452">
        <v>2136</v>
      </c>
      <c r="S452">
        <v>3</v>
      </c>
      <c r="T452">
        <v>0.2</v>
      </c>
      <c r="U452">
        <v>169.15</v>
      </c>
    </row>
    <row r="453" spans="1:21" x14ac:dyDescent="0.35">
      <c r="A453">
        <v>452</v>
      </c>
      <c r="B453" t="s">
        <v>396</v>
      </c>
      <c r="C453" s="1">
        <v>45334</v>
      </c>
      <c r="D453" s="1">
        <v>45336</v>
      </c>
      <c r="E453" t="s">
        <v>35</v>
      </c>
      <c r="F453" t="s">
        <v>178</v>
      </c>
      <c r="G453" t="s">
        <v>179</v>
      </c>
      <c r="H453" t="s">
        <v>38</v>
      </c>
      <c r="I453" t="s">
        <v>26</v>
      </c>
      <c r="J453" t="s">
        <v>119</v>
      </c>
      <c r="K453" t="s">
        <v>120</v>
      </c>
      <c r="L453">
        <v>97206</v>
      </c>
      <c r="M453" t="s">
        <v>85</v>
      </c>
      <c r="N453" t="s">
        <v>121</v>
      </c>
      <c r="O453" t="s">
        <v>47</v>
      </c>
      <c r="P453" t="s">
        <v>122</v>
      </c>
      <c r="Q453" t="s">
        <v>123</v>
      </c>
      <c r="R453">
        <v>3780</v>
      </c>
      <c r="S453">
        <v>7</v>
      </c>
      <c r="T453">
        <v>0</v>
      </c>
      <c r="U453">
        <v>718.22</v>
      </c>
    </row>
    <row r="454" spans="1:21" x14ac:dyDescent="0.35">
      <c r="A454">
        <v>453</v>
      </c>
      <c r="B454" t="s">
        <v>396</v>
      </c>
      <c r="C454" s="1">
        <v>45334</v>
      </c>
      <c r="D454" s="1">
        <v>45336</v>
      </c>
      <c r="E454" t="s">
        <v>94</v>
      </c>
      <c r="F454" t="s">
        <v>178</v>
      </c>
      <c r="G454" t="s">
        <v>179</v>
      </c>
      <c r="H454" t="s">
        <v>38</v>
      </c>
      <c r="I454" t="s">
        <v>26</v>
      </c>
      <c r="J454" t="s">
        <v>119</v>
      </c>
      <c r="K454" t="s">
        <v>120</v>
      </c>
      <c r="L454">
        <v>97206</v>
      </c>
      <c r="M454" t="s">
        <v>85</v>
      </c>
      <c r="N454" t="s">
        <v>125</v>
      </c>
      <c r="O454" t="s">
        <v>43</v>
      </c>
      <c r="P454" t="s">
        <v>126</v>
      </c>
      <c r="Q454" t="s">
        <v>127</v>
      </c>
      <c r="R454">
        <v>216</v>
      </c>
      <c r="S454">
        <v>2</v>
      </c>
      <c r="T454">
        <v>0.1</v>
      </c>
      <c r="U454">
        <v>25.38</v>
      </c>
    </row>
    <row r="455" spans="1:21" x14ac:dyDescent="0.35">
      <c r="A455">
        <v>454</v>
      </c>
      <c r="B455" t="s">
        <v>396</v>
      </c>
      <c r="C455" s="1">
        <v>45334</v>
      </c>
      <c r="D455" s="1">
        <v>45336</v>
      </c>
      <c r="E455" t="s">
        <v>35</v>
      </c>
      <c r="F455" t="s">
        <v>178</v>
      </c>
      <c r="G455" t="s">
        <v>179</v>
      </c>
      <c r="H455" t="s">
        <v>38</v>
      </c>
      <c r="I455" t="s">
        <v>26</v>
      </c>
      <c r="J455" t="s">
        <v>119</v>
      </c>
      <c r="K455" t="s">
        <v>120</v>
      </c>
      <c r="L455">
        <v>97206</v>
      </c>
      <c r="M455" t="s">
        <v>85</v>
      </c>
      <c r="N455" t="s">
        <v>30</v>
      </c>
      <c r="O455" t="s">
        <v>31</v>
      </c>
      <c r="P455" t="s">
        <v>32</v>
      </c>
      <c r="Q455" t="s">
        <v>33</v>
      </c>
      <c r="R455">
        <v>575</v>
      </c>
      <c r="S455">
        <v>5</v>
      </c>
      <c r="T455">
        <v>0.5</v>
      </c>
      <c r="U455">
        <v>-102.51</v>
      </c>
    </row>
    <row r="456" spans="1:21" x14ac:dyDescent="0.35">
      <c r="A456">
        <v>455</v>
      </c>
      <c r="B456" t="s">
        <v>397</v>
      </c>
      <c r="C456" s="1">
        <v>45616</v>
      </c>
      <c r="D456" s="1">
        <v>45617</v>
      </c>
      <c r="E456" t="s">
        <v>22</v>
      </c>
      <c r="F456" t="s">
        <v>182</v>
      </c>
      <c r="G456" t="s">
        <v>183</v>
      </c>
      <c r="H456" t="s">
        <v>25</v>
      </c>
      <c r="I456" t="s">
        <v>26</v>
      </c>
      <c r="J456" t="s">
        <v>162</v>
      </c>
      <c r="K456" t="s">
        <v>163</v>
      </c>
      <c r="L456">
        <v>28205</v>
      </c>
      <c r="M456" t="s">
        <v>65</v>
      </c>
      <c r="N456" t="s">
        <v>113</v>
      </c>
      <c r="O456" t="s">
        <v>43</v>
      </c>
      <c r="P456" t="s">
        <v>114</v>
      </c>
      <c r="Q456" t="s">
        <v>115</v>
      </c>
      <c r="R456">
        <v>49.5</v>
      </c>
      <c r="S456">
        <v>5</v>
      </c>
      <c r="T456">
        <v>0.1</v>
      </c>
      <c r="U456">
        <v>13.6</v>
      </c>
    </row>
    <row r="457" spans="1:21" x14ac:dyDescent="0.35">
      <c r="A457">
        <v>456</v>
      </c>
      <c r="B457" t="s">
        <v>397</v>
      </c>
      <c r="C457" s="1">
        <v>45616</v>
      </c>
      <c r="D457" s="1">
        <v>45617</v>
      </c>
      <c r="E457" t="s">
        <v>94</v>
      </c>
      <c r="F457" t="s">
        <v>182</v>
      </c>
      <c r="G457" t="s">
        <v>183</v>
      </c>
      <c r="H457" t="s">
        <v>25</v>
      </c>
      <c r="I457" t="s">
        <v>26</v>
      </c>
      <c r="J457" t="s">
        <v>162</v>
      </c>
      <c r="K457" t="s">
        <v>163</v>
      </c>
      <c r="L457">
        <v>28205</v>
      </c>
      <c r="M457" t="s">
        <v>65</v>
      </c>
      <c r="N457" t="s">
        <v>46</v>
      </c>
      <c r="O457" t="s">
        <v>47</v>
      </c>
      <c r="P457" t="s">
        <v>48</v>
      </c>
      <c r="Q457" t="s">
        <v>49</v>
      </c>
      <c r="R457">
        <v>224</v>
      </c>
      <c r="S457">
        <v>7</v>
      </c>
      <c r="T457">
        <v>0</v>
      </c>
      <c r="U457">
        <v>48.45</v>
      </c>
    </row>
    <row r="458" spans="1:21" x14ac:dyDescent="0.35">
      <c r="A458">
        <v>457</v>
      </c>
      <c r="B458" t="s">
        <v>397</v>
      </c>
      <c r="C458" s="1">
        <v>45616</v>
      </c>
      <c r="D458" s="1">
        <v>45617</v>
      </c>
      <c r="E458" t="s">
        <v>35</v>
      </c>
      <c r="F458" t="s">
        <v>182</v>
      </c>
      <c r="G458" t="s">
        <v>183</v>
      </c>
      <c r="H458" t="s">
        <v>25</v>
      </c>
      <c r="I458" t="s">
        <v>26</v>
      </c>
      <c r="J458" t="s">
        <v>162</v>
      </c>
      <c r="K458" t="s">
        <v>163</v>
      </c>
      <c r="L458">
        <v>28205</v>
      </c>
      <c r="M458" t="s">
        <v>65</v>
      </c>
      <c r="N458" t="s">
        <v>103</v>
      </c>
      <c r="O458" t="s">
        <v>47</v>
      </c>
      <c r="P458" t="s">
        <v>104</v>
      </c>
      <c r="Q458" t="s">
        <v>105</v>
      </c>
      <c r="R458">
        <v>6230</v>
      </c>
      <c r="S458">
        <v>7</v>
      </c>
      <c r="T458">
        <v>0</v>
      </c>
      <c r="U458">
        <v>1244.25</v>
      </c>
    </row>
    <row r="459" spans="1:21" x14ac:dyDescent="0.35">
      <c r="A459">
        <v>458</v>
      </c>
      <c r="B459" t="s">
        <v>397</v>
      </c>
      <c r="C459" s="1">
        <v>45616</v>
      </c>
      <c r="D459" s="1">
        <v>45617</v>
      </c>
      <c r="E459" t="s">
        <v>94</v>
      </c>
      <c r="F459" t="s">
        <v>182</v>
      </c>
      <c r="G459" t="s">
        <v>183</v>
      </c>
      <c r="H459" t="s">
        <v>25</v>
      </c>
      <c r="I459" t="s">
        <v>26</v>
      </c>
      <c r="J459" t="s">
        <v>162</v>
      </c>
      <c r="K459" t="s">
        <v>163</v>
      </c>
      <c r="L459">
        <v>28205</v>
      </c>
      <c r="M459" t="s">
        <v>65</v>
      </c>
      <c r="N459" t="s">
        <v>51</v>
      </c>
      <c r="O459" t="s">
        <v>43</v>
      </c>
      <c r="P459" t="s">
        <v>52</v>
      </c>
      <c r="Q459" t="s">
        <v>53</v>
      </c>
      <c r="R459">
        <v>32</v>
      </c>
      <c r="S459">
        <v>4</v>
      </c>
      <c r="T459">
        <v>0</v>
      </c>
      <c r="U459">
        <v>6.03</v>
      </c>
    </row>
    <row r="460" spans="1:21" x14ac:dyDescent="0.35">
      <c r="A460">
        <v>459</v>
      </c>
      <c r="B460" t="s">
        <v>398</v>
      </c>
      <c r="C460" s="1">
        <v>45641</v>
      </c>
      <c r="D460" s="1">
        <v>45644</v>
      </c>
      <c r="E460" t="s">
        <v>35</v>
      </c>
      <c r="F460" t="s">
        <v>182</v>
      </c>
      <c r="G460" t="s">
        <v>183</v>
      </c>
      <c r="H460" t="s">
        <v>25</v>
      </c>
      <c r="I460" t="s">
        <v>26</v>
      </c>
      <c r="J460" t="s">
        <v>162</v>
      </c>
      <c r="K460" t="s">
        <v>163</v>
      </c>
      <c r="L460">
        <v>28205</v>
      </c>
      <c r="M460" t="s">
        <v>65</v>
      </c>
      <c r="N460" t="s">
        <v>46</v>
      </c>
      <c r="O460" t="s">
        <v>47</v>
      </c>
      <c r="P460" t="s">
        <v>48</v>
      </c>
      <c r="Q460" t="s">
        <v>49</v>
      </c>
      <c r="R460">
        <v>51.2</v>
      </c>
      <c r="S460">
        <v>2</v>
      </c>
      <c r="T460">
        <v>0.2</v>
      </c>
      <c r="U460">
        <v>4.3499999999999996</v>
      </c>
    </row>
    <row r="461" spans="1:21" x14ac:dyDescent="0.35">
      <c r="A461">
        <v>460</v>
      </c>
      <c r="B461" t="s">
        <v>399</v>
      </c>
      <c r="C461" s="1">
        <v>45365</v>
      </c>
      <c r="D461" s="1">
        <v>45367</v>
      </c>
      <c r="E461" t="s">
        <v>35</v>
      </c>
      <c r="F461" t="s">
        <v>200</v>
      </c>
      <c r="G461" t="s">
        <v>201</v>
      </c>
      <c r="H461" t="s">
        <v>62</v>
      </c>
      <c r="I461" t="s">
        <v>26</v>
      </c>
      <c r="J461" t="s">
        <v>75</v>
      </c>
      <c r="K461" t="s">
        <v>76</v>
      </c>
      <c r="L461">
        <v>2110</v>
      </c>
      <c r="M461" t="s">
        <v>29</v>
      </c>
      <c r="N461" t="s">
        <v>66</v>
      </c>
      <c r="O461" t="s">
        <v>47</v>
      </c>
      <c r="P461" t="s">
        <v>67</v>
      </c>
      <c r="Q461" t="s">
        <v>68</v>
      </c>
      <c r="R461">
        <v>990</v>
      </c>
      <c r="S461">
        <v>3</v>
      </c>
      <c r="T461">
        <v>0</v>
      </c>
      <c r="U461">
        <v>169.72</v>
      </c>
    </row>
    <row r="462" spans="1:21" x14ac:dyDescent="0.35">
      <c r="A462">
        <v>461</v>
      </c>
      <c r="B462" t="s">
        <v>399</v>
      </c>
      <c r="C462" s="1">
        <v>45365</v>
      </c>
      <c r="D462" s="1">
        <v>45367</v>
      </c>
      <c r="E462" t="s">
        <v>22</v>
      </c>
      <c r="F462" t="s">
        <v>200</v>
      </c>
      <c r="G462" t="s">
        <v>201</v>
      </c>
      <c r="H462" t="s">
        <v>62</v>
      </c>
      <c r="I462" t="s">
        <v>26</v>
      </c>
      <c r="J462" t="s">
        <v>75</v>
      </c>
      <c r="K462" t="s">
        <v>76</v>
      </c>
      <c r="L462">
        <v>2110</v>
      </c>
      <c r="M462" t="s">
        <v>29</v>
      </c>
      <c r="N462" t="s">
        <v>69</v>
      </c>
      <c r="O462" t="s">
        <v>43</v>
      </c>
      <c r="P462" t="s">
        <v>70</v>
      </c>
      <c r="Q462" t="s">
        <v>71</v>
      </c>
      <c r="R462">
        <v>180</v>
      </c>
      <c r="S462">
        <v>4</v>
      </c>
      <c r="T462">
        <v>0</v>
      </c>
      <c r="U462">
        <v>27.79</v>
      </c>
    </row>
    <row r="463" spans="1:21" x14ac:dyDescent="0.35">
      <c r="A463">
        <v>462</v>
      </c>
      <c r="B463" t="s">
        <v>400</v>
      </c>
      <c r="C463" s="1">
        <v>46080</v>
      </c>
      <c r="D463" s="1">
        <v>46081</v>
      </c>
      <c r="E463" t="s">
        <v>94</v>
      </c>
      <c r="F463" t="s">
        <v>285</v>
      </c>
      <c r="G463" t="s">
        <v>286</v>
      </c>
      <c r="H463" t="s">
        <v>62</v>
      </c>
      <c r="I463" t="s">
        <v>26</v>
      </c>
      <c r="J463" t="s">
        <v>150</v>
      </c>
      <c r="K463" t="s">
        <v>151</v>
      </c>
      <c r="L463">
        <v>33311</v>
      </c>
      <c r="M463" t="s">
        <v>65</v>
      </c>
      <c r="N463" t="s">
        <v>103</v>
      </c>
      <c r="O463" t="s">
        <v>47</v>
      </c>
      <c r="P463" t="s">
        <v>104</v>
      </c>
      <c r="Q463" t="s">
        <v>105</v>
      </c>
      <c r="R463">
        <v>2670</v>
      </c>
      <c r="S463">
        <v>3</v>
      </c>
      <c r="T463">
        <v>0</v>
      </c>
      <c r="U463">
        <v>532.34</v>
      </c>
    </row>
    <row r="464" spans="1:21" x14ac:dyDescent="0.35">
      <c r="A464">
        <v>463</v>
      </c>
      <c r="B464" t="s">
        <v>401</v>
      </c>
      <c r="C464" s="1">
        <v>46259</v>
      </c>
      <c r="D464" s="1">
        <v>46265</v>
      </c>
      <c r="E464" t="s">
        <v>35</v>
      </c>
      <c r="F464" t="s">
        <v>250</v>
      </c>
      <c r="G464" t="s">
        <v>251</v>
      </c>
      <c r="H464" t="s">
        <v>38</v>
      </c>
      <c r="I464" t="s">
        <v>26</v>
      </c>
      <c r="J464" t="s">
        <v>229</v>
      </c>
      <c r="K464" t="s">
        <v>230</v>
      </c>
      <c r="L464">
        <v>30318</v>
      </c>
      <c r="M464" t="s">
        <v>65</v>
      </c>
      <c r="N464" t="s">
        <v>103</v>
      </c>
      <c r="O464" t="s">
        <v>47</v>
      </c>
      <c r="P464" t="s">
        <v>104</v>
      </c>
      <c r="Q464" t="s">
        <v>105</v>
      </c>
      <c r="R464">
        <v>3560</v>
      </c>
      <c r="S464">
        <v>4</v>
      </c>
      <c r="T464">
        <v>0</v>
      </c>
      <c r="U464">
        <v>712.54</v>
      </c>
    </row>
    <row r="465" spans="1:21" x14ac:dyDescent="0.35">
      <c r="A465">
        <v>464</v>
      </c>
      <c r="B465" t="s">
        <v>401</v>
      </c>
      <c r="C465" s="1">
        <v>46259</v>
      </c>
      <c r="D465" s="1">
        <v>46265</v>
      </c>
      <c r="E465" t="s">
        <v>22</v>
      </c>
      <c r="F465" t="s">
        <v>250</v>
      </c>
      <c r="G465" t="s">
        <v>251</v>
      </c>
      <c r="H465" t="s">
        <v>38</v>
      </c>
      <c r="I465" t="s">
        <v>26</v>
      </c>
      <c r="J465" t="s">
        <v>229</v>
      </c>
      <c r="K465" t="s">
        <v>230</v>
      </c>
      <c r="L465">
        <v>30318</v>
      </c>
      <c r="M465" t="s">
        <v>65</v>
      </c>
      <c r="N465" t="s">
        <v>46</v>
      </c>
      <c r="O465" t="s">
        <v>47</v>
      </c>
      <c r="P465" t="s">
        <v>48</v>
      </c>
      <c r="Q465" t="s">
        <v>49</v>
      </c>
      <c r="R465">
        <v>28.8</v>
      </c>
      <c r="S465">
        <v>1</v>
      </c>
      <c r="T465">
        <v>0.1</v>
      </c>
      <c r="U465">
        <v>3.44</v>
      </c>
    </row>
    <row r="466" spans="1:21" x14ac:dyDescent="0.35">
      <c r="A466">
        <v>465</v>
      </c>
      <c r="B466" t="s">
        <v>402</v>
      </c>
      <c r="C466" s="1">
        <v>45523</v>
      </c>
      <c r="D466" s="1">
        <v>45528</v>
      </c>
      <c r="E466" t="s">
        <v>35</v>
      </c>
      <c r="F466" t="s">
        <v>279</v>
      </c>
      <c r="G466" t="s">
        <v>280</v>
      </c>
      <c r="H466" t="s">
        <v>38</v>
      </c>
      <c r="I466" t="s">
        <v>26</v>
      </c>
      <c r="J466" t="s">
        <v>57</v>
      </c>
      <c r="K466" t="s">
        <v>58</v>
      </c>
      <c r="L466">
        <v>10009</v>
      </c>
      <c r="M466" t="s">
        <v>29</v>
      </c>
      <c r="N466" t="s">
        <v>66</v>
      </c>
      <c r="O466" t="s">
        <v>47</v>
      </c>
      <c r="P466" t="s">
        <v>67</v>
      </c>
      <c r="Q466" t="s">
        <v>68</v>
      </c>
      <c r="R466">
        <v>660</v>
      </c>
      <c r="S466">
        <v>2</v>
      </c>
      <c r="T466">
        <v>0</v>
      </c>
      <c r="U466">
        <v>113.21</v>
      </c>
    </row>
    <row r="467" spans="1:21" x14ac:dyDescent="0.35">
      <c r="A467">
        <v>466</v>
      </c>
      <c r="B467" t="s">
        <v>403</v>
      </c>
      <c r="C467" s="1">
        <v>46245</v>
      </c>
      <c r="D467" s="1">
        <v>46250</v>
      </c>
      <c r="E467" t="s">
        <v>94</v>
      </c>
      <c r="F467" t="s">
        <v>241</v>
      </c>
      <c r="G467" t="s">
        <v>242</v>
      </c>
      <c r="H467" t="s">
        <v>25</v>
      </c>
      <c r="I467" t="s">
        <v>26</v>
      </c>
      <c r="J467" t="s">
        <v>229</v>
      </c>
      <c r="K467" t="s">
        <v>230</v>
      </c>
      <c r="L467">
        <v>30318</v>
      </c>
      <c r="M467" t="s">
        <v>65</v>
      </c>
      <c r="N467" t="s">
        <v>30</v>
      </c>
      <c r="O467" t="s">
        <v>31</v>
      </c>
      <c r="P467" t="s">
        <v>32</v>
      </c>
      <c r="Q467" t="s">
        <v>33</v>
      </c>
      <c r="R467">
        <v>460</v>
      </c>
      <c r="S467">
        <v>2</v>
      </c>
      <c r="T467">
        <v>0</v>
      </c>
      <c r="U467">
        <v>55.42</v>
      </c>
    </row>
    <row r="468" spans="1:21" x14ac:dyDescent="0.35">
      <c r="A468">
        <v>467</v>
      </c>
      <c r="B468" t="s">
        <v>403</v>
      </c>
      <c r="C468" s="1">
        <v>46245</v>
      </c>
      <c r="D468" s="1">
        <v>46250</v>
      </c>
      <c r="E468" t="s">
        <v>22</v>
      </c>
      <c r="F468" t="s">
        <v>241</v>
      </c>
      <c r="G468" t="s">
        <v>242</v>
      </c>
      <c r="H468" t="s">
        <v>25</v>
      </c>
      <c r="I468" t="s">
        <v>26</v>
      </c>
      <c r="J468" t="s">
        <v>229</v>
      </c>
      <c r="K468" t="s">
        <v>230</v>
      </c>
      <c r="L468">
        <v>30318</v>
      </c>
      <c r="M468" t="s">
        <v>65</v>
      </c>
      <c r="N468" t="s">
        <v>51</v>
      </c>
      <c r="O468" t="s">
        <v>43</v>
      </c>
      <c r="P468" t="s">
        <v>52</v>
      </c>
      <c r="Q468" t="s">
        <v>53</v>
      </c>
      <c r="R468">
        <v>28</v>
      </c>
      <c r="S468">
        <v>5</v>
      </c>
      <c r="T468">
        <v>0.3</v>
      </c>
      <c r="U468">
        <v>2.2400000000000002</v>
      </c>
    </row>
    <row r="469" spans="1:21" x14ac:dyDescent="0.35">
      <c r="A469">
        <v>468</v>
      </c>
      <c r="B469" t="s">
        <v>403</v>
      </c>
      <c r="C469" s="1">
        <v>46245</v>
      </c>
      <c r="D469" s="1">
        <v>46250</v>
      </c>
      <c r="E469" t="s">
        <v>35</v>
      </c>
      <c r="F469" t="s">
        <v>241</v>
      </c>
      <c r="G469" t="s">
        <v>242</v>
      </c>
      <c r="H469" t="s">
        <v>25</v>
      </c>
      <c r="I469" t="s">
        <v>26</v>
      </c>
      <c r="J469" t="s">
        <v>229</v>
      </c>
      <c r="K469" t="s">
        <v>230</v>
      </c>
      <c r="L469">
        <v>30318</v>
      </c>
      <c r="M469" t="s">
        <v>65</v>
      </c>
      <c r="N469" t="s">
        <v>103</v>
      </c>
      <c r="O469" t="s">
        <v>47</v>
      </c>
      <c r="P469" t="s">
        <v>104</v>
      </c>
      <c r="Q469" t="s">
        <v>105</v>
      </c>
      <c r="R469">
        <v>3560</v>
      </c>
      <c r="S469">
        <v>4</v>
      </c>
      <c r="T469">
        <v>0</v>
      </c>
      <c r="U469">
        <v>710.07</v>
      </c>
    </row>
    <row r="470" spans="1:21" x14ac:dyDescent="0.35">
      <c r="A470">
        <v>469</v>
      </c>
      <c r="B470" t="s">
        <v>403</v>
      </c>
      <c r="C470" s="1">
        <v>46245</v>
      </c>
      <c r="D470" s="1">
        <v>46250</v>
      </c>
      <c r="E470" t="s">
        <v>22</v>
      </c>
      <c r="F470" t="s">
        <v>241</v>
      </c>
      <c r="G470" t="s">
        <v>242</v>
      </c>
      <c r="H470" t="s">
        <v>25</v>
      </c>
      <c r="I470" t="s">
        <v>26</v>
      </c>
      <c r="J470" t="s">
        <v>229</v>
      </c>
      <c r="K470" t="s">
        <v>230</v>
      </c>
      <c r="L470">
        <v>30318</v>
      </c>
      <c r="M470" t="s">
        <v>65</v>
      </c>
      <c r="N470" t="s">
        <v>106</v>
      </c>
      <c r="O470" t="s">
        <v>43</v>
      </c>
      <c r="P470" t="s">
        <v>107</v>
      </c>
      <c r="Q470" t="s">
        <v>108</v>
      </c>
      <c r="R470">
        <v>18.899999999999999</v>
      </c>
      <c r="S470">
        <v>3</v>
      </c>
      <c r="T470">
        <v>0.3</v>
      </c>
      <c r="U470">
        <v>2.46</v>
      </c>
    </row>
    <row r="471" spans="1:21" x14ac:dyDescent="0.35">
      <c r="A471">
        <v>470</v>
      </c>
      <c r="B471" t="s">
        <v>404</v>
      </c>
      <c r="C471" s="1">
        <v>45775</v>
      </c>
      <c r="D471" s="1">
        <v>45780</v>
      </c>
      <c r="E471" t="s">
        <v>50</v>
      </c>
      <c r="F471" t="s">
        <v>405</v>
      </c>
      <c r="G471" t="s">
        <v>406</v>
      </c>
      <c r="H471" t="s">
        <v>25</v>
      </c>
      <c r="I471" t="s">
        <v>26</v>
      </c>
      <c r="J471" t="s">
        <v>131</v>
      </c>
      <c r="K471" t="s">
        <v>90</v>
      </c>
      <c r="L471">
        <v>94122</v>
      </c>
      <c r="M471" t="s">
        <v>85</v>
      </c>
      <c r="N471" t="s">
        <v>42</v>
      </c>
      <c r="O471" t="s">
        <v>43</v>
      </c>
      <c r="P471" t="s">
        <v>44</v>
      </c>
      <c r="Q471" t="s">
        <v>45</v>
      </c>
      <c r="R471">
        <v>84</v>
      </c>
      <c r="S471">
        <v>6</v>
      </c>
      <c r="T471">
        <v>0</v>
      </c>
      <c r="U471">
        <v>34.6</v>
      </c>
    </row>
    <row r="472" spans="1:21" x14ac:dyDescent="0.35">
      <c r="A472">
        <v>471</v>
      </c>
      <c r="B472" t="s">
        <v>404</v>
      </c>
      <c r="C472" s="1">
        <v>45775</v>
      </c>
      <c r="D472" s="1">
        <v>45780</v>
      </c>
      <c r="E472" t="s">
        <v>35</v>
      </c>
      <c r="F472" t="s">
        <v>405</v>
      </c>
      <c r="G472" t="s">
        <v>406</v>
      </c>
      <c r="H472" t="s">
        <v>25</v>
      </c>
      <c r="I472" t="s">
        <v>26</v>
      </c>
      <c r="J472" t="s">
        <v>131</v>
      </c>
      <c r="K472" t="s">
        <v>90</v>
      </c>
      <c r="L472">
        <v>94122</v>
      </c>
      <c r="M472" t="s">
        <v>85</v>
      </c>
      <c r="N472" t="s">
        <v>51</v>
      </c>
      <c r="O472" t="s">
        <v>43</v>
      </c>
      <c r="P472" t="s">
        <v>52</v>
      </c>
      <c r="Q472" t="s">
        <v>53</v>
      </c>
      <c r="R472">
        <v>8</v>
      </c>
      <c r="S472">
        <v>1</v>
      </c>
      <c r="T472">
        <v>0</v>
      </c>
      <c r="U472">
        <v>1.43</v>
      </c>
    </row>
    <row r="473" spans="1:21" x14ac:dyDescent="0.35">
      <c r="A473">
        <v>472</v>
      </c>
      <c r="B473" t="s">
        <v>407</v>
      </c>
      <c r="C473" s="1">
        <v>46217</v>
      </c>
      <c r="D473" s="1">
        <v>46222</v>
      </c>
      <c r="E473" t="s">
        <v>35</v>
      </c>
      <c r="F473" t="s">
        <v>343</v>
      </c>
      <c r="G473" t="s">
        <v>344</v>
      </c>
      <c r="H473" t="s">
        <v>25</v>
      </c>
      <c r="I473" t="s">
        <v>26</v>
      </c>
      <c r="J473" t="s">
        <v>150</v>
      </c>
      <c r="K473" t="s">
        <v>151</v>
      </c>
      <c r="L473">
        <v>33311</v>
      </c>
      <c r="M473" t="s">
        <v>65</v>
      </c>
      <c r="N473" t="s">
        <v>42</v>
      </c>
      <c r="O473" t="s">
        <v>43</v>
      </c>
      <c r="P473" t="s">
        <v>44</v>
      </c>
      <c r="Q473" t="s">
        <v>45</v>
      </c>
      <c r="R473">
        <v>42</v>
      </c>
      <c r="S473">
        <v>6</v>
      </c>
      <c r="T473">
        <v>0.5</v>
      </c>
      <c r="U473">
        <v>4.3099999999999996</v>
      </c>
    </row>
    <row r="474" spans="1:21" x14ac:dyDescent="0.35">
      <c r="A474">
        <v>473</v>
      </c>
      <c r="B474" t="s">
        <v>408</v>
      </c>
      <c r="C474" s="1">
        <v>46199</v>
      </c>
      <c r="D474" s="1">
        <v>46202</v>
      </c>
      <c r="E474" t="s">
        <v>22</v>
      </c>
      <c r="F474" t="s">
        <v>283</v>
      </c>
      <c r="G474" t="s">
        <v>204</v>
      </c>
      <c r="H474" t="s">
        <v>62</v>
      </c>
      <c r="I474" t="s">
        <v>26</v>
      </c>
      <c r="J474" t="s">
        <v>135</v>
      </c>
      <c r="K474" t="s">
        <v>136</v>
      </c>
      <c r="L474">
        <v>19140</v>
      </c>
      <c r="M474" t="s">
        <v>29</v>
      </c>
      <c r="N474" t="s">
        <v>113</v>
      </c>
      <c r="O474" t="s">
        <v>43</v>
      </c>
      <c r="P474" t="s">
        <v>114</v>
      </c>
      <c r="Q474" t="s">
        <v>115</v>
      </c>
      <c r="R474">
        <v>27.5</v>
      </c>
      <c r="S474">
        <v>5</v>
      </c>
      <c r="T474">
        <v>0.5</v>
      </c>
      <c r="U474">
        <v>-0.49</v>
      </c>
    </row>
    <row r="475" spans="1:21" x14ac:dyDescent="0.35">
      <c r="A475">
        <v>474</v>
      </c>
      <c r="B475" t="s">
        <v>408</v>
      </c>
      <c r="C475" s="1">
        <v>46199</v>
      </c>
      <c r="D475" s="1">
        <v>46202</v>
      </c>
      <c r="E475" t="s">
        <v>50</v>
      </c>
      <c r="F475" t="s">
        <v>283</v>
      </c>
      <c r="G475" t="s">
        <v>204</v>
      </c>
      <c r="H475" t="s">
        <v>62</v>
      </c>
      <c r="I475" t="s">
        <v>26</v>
      </c>
      <c r="J475" t="s">
        <v>135</v>
      </c>
      <c r="K475" t="s">
        <v>136</v>
      </c>
      <c r="L475">
        <v>19140</v>
      </c>
      <c r="M475" t="s">
        <v>29</v>
      </c>
      <c r="N475" t="s">
        <v>121</v>
      </c>
      <c r="O475" t="s">
        <v>47</v>
      </c>
      <c r="P475" t="s">
        <v>122</v>
      </c>
      <c r="Q475" t="s">
        <v>123</v>
      </c>
      <c r="R475">
        <v>1458</v>
      </c>
      <c r="S475">
        <v>3</v>
      </c>
      <c r="T475">
        <v>0.1</v>
      </c>
      <c r="U475">
        <v>187.77</v>
      </c>
    </row>
    <row r="476" spans="1:21" x14ac:dyDescent="0.35">
      <c r="A476">
        <v>475</v>
      </c>
      <c r="B476" t="s">
        <v>409</v>
      </c>
      <c r="C476" s="1">
        <v>45390</v>
      </c>
      <c r="D476" s="1">
        <v>45394</v>
      </c>
      <c r="E476" t="s">
        <v>35</v>
      </c>
      <c r="F476" t="s">
        <v>253</v>
      </c>
      <c r="G476" t="s">
        <v>254</v>
      </c>
      <c r="H476" t="s">
        <v>62</v>
      </c>
      <c r="I476" t="s">
        <v>26</v>
      </c>
      <c r="J476" t="s">
        <v>229</v>
      </c>
      <c r="K476" t="s">
        <v>230</v>
      </c>
      <c r="L476">
        <v>30318</v>
      </c>
      <c r="M476" t="s">
        <v>65</v>
      </c>
      <c r="N476" t="s">
        <v>66</v>
      </c>
      <c r="O476" t="s">
        <v>47</v>
      </c>
      <c r="P476" t="s">
        <v>67</v>
      </c>
      <c r="Q476" t="s">
        <v>68</v>
      </c>
      <c r="R476">
        <v>1650</v>
      </c>
      <c r="S476">
        <v>5</v>
      </c>
      <c r="T476">
        <v>0</v>
      </c>
      <c r="U476">
        <v>280.13</v>
      </c>
    </row>
    <row r="477" spans="1:21" x14ac:dyDescent="0.35">
      <c r="A477">
        <v>476</v>
      </c>
      <c r="B477" t="s">
        <v>410</v>
      </c>
      <c r="C477" s="1">
        <v>46106</v>
      </c>
      <c r="D477" s="1">
        <v>46111</v>
      </c>
      <c r="E477" t="s">
        <v>22</v>
      </c>
      <c r="F477" t="s">
        <v>157</v>
      </c>
      <c r="G477" t="s">
        <v>158</v>
      </c>
      <c r="H477" t="s">
        <v>62</v>
      </c>
      <c r="I477" t="s">
        <v>26</v>
      </c>
      <c r="J477" t="s">
        <v>89</v>
      </c>
      <c r="K477" t="s">
        <v>90</v>
      </c>
      <c r="L477">
        <v>90036</v>
      </c>
      <c r="M477" t="s">
        <v>85</v>
      </c>
      <c r="N477" t="s">
        <v>30</v>
      </c>
      <c r="O477" t="s">
        <v>31</v>
      </c>
      <c r="P477" t="s">
        <v>32</v>
      </c>
      <c r="Q477" t="s">
        <v>33</v>
      </c>
      <c r="R477">
        <v>460</v>
      </c>
      <c r="S477">
        <v>2</v>
      </c>
      <c r="T477">
        <v>0</v>
      </c>
      <c r="U477">
        <v>55.77</v>
      </c>
    </row>
    <row r="478" spans="1:21" x14ac:dyDescent="0.35">
      <c r="A478">
        <v>477</v>
      </c>
      <c r="B478" t="s">
        <v>410</v>
      </c>
      <c r="C478" s="1">
        <v>46106</v>
      </c>
      <c r="D478" s="1">
        <v>46111</v>
      </c>
      <c r="E478" t="s">
        <v>35</v>
      </c>
      <c r="F478" t="s">
        <v>157</v>
      </c>
      <c r="G478" t="s">
        <v>158</v>
      </c>
      <c r="H478" t="s">
        <v>62</v>
      </c>
      <c r="I478" t="s">
        <v>26</v>
      </c>
      <c r="J478" t="s">
        <v>89</v>
      </c>
      <c r="K478" t="s">
        <v>90</v>
      </c>
      <c r="L478">
        <v>90036</v>
      </c>
      <c r="M478" t="s">
        <v>85</v>
      </c>
      <c r="N478" t="s">
        <v>97</v>
      </c>
      <c r="O478" t="s">
        <v>31</v>
      </c>
      <c r="P478" t="s">
        <v>98</v>
      </c>
      <c r="Q478" t="s">
        <v>99</v>
      </c>
      <c r="R478">
        <v>1560</v>
      </c>
      <c r="S478">
        <v>6</v>
      </c>
      <c r="T478">
        <v>0</v>
      </c>
      <c r="U478">
        <v>157.49</v>
      </c>
    </row>
    <row r="479" spans="1:21" x14ac:dyDescent="0.35">
      <c r="A479">
        <v>478</v>
      </c>
      <c r="B479" t="s">
        <v>411</v>
      </c>
      <c r="C479" s="1">
        <v>45778</v>
      </c>
      <c r="D479" s="1">
        <v>45779</v>
      </c>
      <c r="E479" t="s">
        <v>94</v>
      </c>
      <c r="F479" t="s">
        <v>182</v>
      </c>
      <c r="G479" t="s">
        <v>183</v>
      </c>
      <c r="H479" t="s">
        <v>25</v>
      </c>
      <c r="I479" t="s">
        <v>26</v>
      </c>
      <c r="J479" t="s">
        <v>162</v>
      </c>
      <c r="K479" t="s">
        <v>163</v>
      </c>
      <c r="L479">
        <v>28205</v>
      </c>
      <c r="M479" t="s">
        <v>65</v>
      </c>
      <c r="N479" t="s">
        <v>77</v>
      </c>
      <c r="O479" t="s">
        <v>31</v>
      </c>
      <c r="P479" t="s">
        <v>78</v>
      </c>
      <c r="Q479" t="s">
        <v>79</v>
      </c>
      <c r="R479">
        <v>1344</v>
      </c>
      <c r="S479">
        <v>4</v>
      </c>
      <c r="T479">
        <v>0.2</v>
      </c>
      <c r="U479">
        <v>-226.77</v>
      </c>
    </row>
    <row r="480" spans="1:21" x14ac:dyDescent="0.35">
      <c r="A480">
        <v>479</v>
      </c>
      <c r="B480" t="s">
        <v>411</v>
      </c>
      <c r="C480" s="1">
        <v>45778</v>
      </c>
      <c r="D480" s="1">
        <v>45779</v>
      </c>
      <c r="E480" t="s">
        <v>35</v>
      </c>
      <c r="F480" t="s">
        <v>182</v>
      </c>
      <c r="G480" t="s">
        <v>183</v>
      </c>
      <c r="H480" t="s">
        <v>25</v>
      </c>
      <c r="I480" t="s">
        <v>26</v>
      </c>
      <c r="J480" t="s">
        <v>162</v>
      </c>
      <c r="K480" t="s">
        <v>163</v>
      </c>
      <c r="L480">
        <v>28205</v>
      </c>
      <c r="M480" t="s">
        <v>65</v>
      </c>
      <c r="N480" t="s">
        <v>125</v>
      </c>
      <c r="O480" t="s">
        <v>43</v>
      </c>
      <c r="P480" t="s">
        <v>126</v>
      </c>
      <c r="Q480" t="s">
        <v>127</v>
      </c>
      <c r="R480">
        <v>120</v>
      </c>
      <c r="S480">
        <v>1</v>
      </c>
      <c r="T480">
        <v>0</v>
      </c>
      <c r="U480">
        <v>21.33</v>
      </c>
    </row>
    <row r="481" spans="1:21" x14ac:dyDescent="0.35">
      <c r="A481">
        <v>480</v>
      </c>
      <c r="B481" t="s">
        <v>412</v>
      </c>
      <c r="C481" s="1">
        <v>45863</v>
      </c>
      <c r="D481" s="1">
        <v>45869</v>
      </c>
      <c r="E481" t="s">
        <v>94</v>
      </c>
      <c r="F481" t="s">
        <v>272</v>
      </c>
      <c r="G481" t="s">
        <v>273</v>
      </c>
      <c r="H481" t="s">
        <v>25</v>
      </c>
      <c r="I481" t="s">
        <v>26</v>
      </c>
      <c r="J481" t="s">
        <v>162</v>
      </c>
      <c r="K481" t="s">
        <v>163</v>
      </c>
      <c r="L481">
        <v>28205</v>
      </c>
      <c r="M481" t="s">
        <v>65</v>
      </c>
      <c r="N481" t="s">
        <v>51</v>
      </c>
      <c r="O481" t="s">
        <v>43</v>
      </c>
      <c r="P481" t="s">
        <v>52</v>
      </c>
      <c r="Q481" t="s">
        <v>53</v>
      </c>
      <c r="R481">
        <v>50.4</v>
      </c>
      <c r="S481">
        <v>7</v>
      </c>
      <c r="T481">
        <v>0.1</v>
      </c>
      <c r="U481">
        <v>9.52</v>
      </c>
    </row>
    <row r="482" spans="1:21" x14ac:dyDescent="0.35">
      <c r="A482">
        <v>481</v>
      </c>
      <c r="B482" t="s">
        <v>412</v>
      </c>
      <c r="C482" s="1">
        <v>45863</v>
      </c>
      <c r="D482" s="1">
        <v>45869</v>
      </c>
      <c r="E482" t="s">
        <v>22</v>
      </c>
      <c r="F482" t="s">
        <v>272</v>
      </c>
      <c r="G482" t="s">
        <v>273</v>
      </c>
      <c r="H482" t="s">
        <v>25</v>
      </c>
      <c r="I482" t="s">
        <v>26</v>
      </c>
      <c r="J482" t="s">
        <v>162</v>
      </c>
      <c r="K482" t="s">
        <v>163</v>
      </c>
      <c r="L482">
        <v>28205</v>
      </c>
      <c r="M482" t="s">
        <v>65</v>
      </c>
      <c r="N482" t="s">
        <v>77</v>
      </c>
      <c r="O482" t="s">
        <v>31</v>
      </c>
      <c r="P482" t="s">
        <v>78</v>
      </c>
      <c r="Q482" t="s">
        <v>79</v>
      </c>
      <c r="R482">
        <v>756</v>
      </c>
      <c r="S482">
        <v>2</v>
      </c>
      <c r="T482">
        <v>0.1</v>
      </c>
      <c r="U482">
        <v>-83.74</v>
      </c>
    </row>
    <row r="483" spans="1:21" x14ac:dyDescent="0.35">
      <c r="A483">
        <v>482</v>
      </c>
      <c r="B483" t="s">
        <v>412</v>
      </c>
      <c r="C483" s="1">
        <v>45863</v>
      </c>
      <c r="D483" s="1">
        <v>45869</v>
      </c>
      <c r="E483" t="s">
        <v>22</v>
      </c>
      <c r="F483" t="s">
        <v>272</v>
      </c>
      <c r="G483" t="s">
        <v>273</v>
      </c>
      <c r="H483" t="s">
        <v>25</v>
      </c>
      <c r="I483" t="s">
        <v>26</v>
      </c>
      <c r="J483" t="s">
        <v>162</v>
      </c>
      <c r="K483" t="s">
        <v>163</v>
      </c>
      <c r="L483">
        <v>28205</v>
      </c>
      <c r="M483" t="s">
        <v>65</v>
      </c>
      <c r="N483" t="s">
        <v>97</v>
      </c>
      <c r="O483" t="s">
        <v>31</v>
      </c>
      <c r="P483" t="s">
        <v>98</v>
      </c>
      <c r="Q483" t="s">
        <v>99</v>
      </c>
      <c r="R483">
        <v>416</v>
      </c>
      <c r="S483">
        <v>2</v>
      </c>
      <c r="T483">
        <v>0.2</v>
      </c>
      <c r="U483">
        <v>-9.57</v>
      </c>
    </row>
    <row r="484" spans="1:21" x14ac:dyDescent="0.35">
      <c r="A484">
        <v>483</v>
      </c>
      <c r="B484" t="s">
        <v>413</v>
      </c>
      <c r="C484" s="1">
        <v>46274</v>
      </c>
      <c r="D484" s="1">
        <v>46276</v>
      </c>
      <c r="E484" t="s">
        <v>94</v>
      </c>
      <c r="F484" t="s">
        <v>55</v>
      </c>
      <c r="G484" t="s">
        <v>56</v>
      </c>
      <c r="H484" t="s">
        <v>38</v>
      </c>
      <c r="I484" t="s">
        <v>26</v>
      </c>
      <c r="J484" t="s">
        <v>57</v>
      </c>
      <c r="K484" t="s">
        <v>58</v>
      </c>
      <c r="L484">
        <v>10009</v>
      </c>
      <c r="M484" t="s">
        <v>29</v>
      </c>
      <c r="N484" t="s">
        <v>125</v>
      </c>
      <c r="O484" t="s">
        <v>43</v>
      </c>
      <c r="P484" t="s">
        <v>126</v>
      </c>
      <c r="Q484" t="s">
        <v>127</v>
      </c>
      <c r="R484">
        <v>240</v>
      </c>
      <c r="S484">
        <v>4</v>
      </c>
      <c r="T484">
        <v>0.5</v>
      </c>
      <c r="U484">
        <v>-29.73</v>
      </c>
    </row>
    <row r="485" spans="1:21" x14ac:dyDescent="0.35">
      <c r="A485">
        <v>484</v>
      </c>
      <c r="B485" t="s">
        <v>413</v>
      </c>
      <c r="C485" s="1">
        <v>46274</v>
      </c>
      <c r="D485" s="1">
        <v>46276</v>
      </c>
      <c r="E485" t="s">
        <v>50</v>
      </c>
      <c r="F485" t="s">
        <v>55</v>
      </c>
      <c r="G485" t="s">
        <v>56</v>
      </c>
      <c r="H485" t="s">
        <v>38</v>
      </c>
      <c r="I485" t="s">
        <v>26</v>
      </c>
      <c r="J485" t="s">
        <v>57</v>
      </c>
      <c r="K485" t="s">
        <v>58</v>
      </c>
      <c r="L485">
        <v>10009</v>
      </c>
      <c r="M485" t="s">
        <v>29</v>
      </c>
      <c r="N485" t="s">
        <v>69</v>
      </c>
      <c r="O485" t="s">
        <v>43</v>
      </c>
      <c r="P485" t="s">
        <v>70</v>
      </c>
      <c r="Q485" t="s">
        <v>71</v>
      </c>
      <c r="R485">
        <v>108</v>
      </c>
      <c r="S485">
        <v>3</v>
      </c>
      <c r="T485">
        <v>0.2</v>
      </c>
      <c r="U485">
        <v>3.66</v>
      </c>
    </row>
    <row r="486" spans="1:21" x14ac:dyDescent="0.35">
      <c r="A486">
        <v>485</v>
      </c>
      <c r="B486" t="s">
        <v>414</v>
      </c>
      <c r="C486" s="1">
        <v>45330</v>
      </c>
      <c r="D486" s="1">
        <v>45331</v>
      </c>
      <c r="E486" t="s">
        <v>22</v>
      </c>
      <c r="F486" t="s">
        <v>186</v>
      </c>
      <c r="G486" t="s">
        <v>187</v>
      </c>
      <c r="H486" t="s">
        <v>25</v>
      </c>
      <c r="I486" t="s">
        <v>26</v>
      </c>
      <c r="J486" t="s">
        <v>162</v>
      </c>
      <c r="K486" t="s">
        <v>163</v>
      </c>
      <c r="L486">
        <v>28205</v>
      </c>
      <c r="M486" t="s">
        <v>65</v>
      </c>
      <c r="N486" t="s">
        <v>113</v>
      </c>
      <c r="O486" t="s">
        <v>43</v>
      </c>
      <c r="P486" t="s">
        <v>114</v>
      </c>
      <c r="Q486" t="s">
        <v>115</v>
      </c>
      <c r="R486">
        <v>26.4</v>
      </c>
      <c r="S486">
        <v>3</v>
      </c>
      <c r="T486">
        <v>0.2</v>
      </c>
      <c r="U486">
        <v>6.77</v>
      </c>
    </row>
    <row r="487" spans="1:21" x14ac:dyDescent="0.35">
      <c r="A487">
        <v>486</v>
      </c>
      <c r="B487" t="s">
        <v>414</v>
      </c>
      <c r="C487" s="1">
        <v>45330</v>
      </c>
      <c r="D487" s="1">
        <v>45331</v>
      </c>
      <c r="E487" t="s">
        <v>50</v>
      </c>
      <c r="F487" t="s">
        <v>186</v>
      </c>
      <c r="G487" t="s">
        <v>187</v>
      </c>
      <c r="H487" t="s">
        <v>25</v>
      </c>
      <c r="I487" t="s">
        <v>26</v>
      </c>
      <c r="J487" t="s">
        <v>162</v>
      </c>
      <c r="K487" t="s">
        <v>163</v>
      </c>
      <c r="L487">
        <v>28205</v>
      </c>
      <c r="M487" t="s">
        <v>65</v>
      </c>
      <c r="N487" t="s">
        <v>51</v>
      </c>
      <c r="O487" t="s">
        <v>43</v>
      </c>
      <c r="P487" t="s">
        <v>52</v>
      </c>
      <c r="Q487" t="s">
        <v>53</v>
      </c>
      <c r="R487">
        <v>50.4</v>
      </c>
      <c r="S487">
        <v>7</v>
      </c>
      <c r="T487">
        <v>0.1</v>
      </c>
      <c r="U487">
        <v>8.9</v>
      </c>
    </row>
    <row r="488" spans="1:21" x14ac:dyDescent="0.35">
      <c r="A488">
        <v>487</v>
      </c>
      <c r="B488" t="s">
        <v>415</v>
      </c>
      <c r="C488" s="1">
        <v>45749</v>
      </c>
      <c r="D488" s="1">
        <v>45750</v>
      </c>
      <c r="E488" t="s">
        <v>22</v>
      </c>
      <c r="F488" t="s">
        <v>336</v>
      </c>
      <c r="G488" t="s">
        <v>337</v>
      </c>
      <c r="H488" t="s">
        <v>25</v>
      </c>
      <c r="I488" t="s">
        <v>26</v>
      </c>
      <c r="J488" t="s">
        <v>89</v>
      </c>
      <c r="K488" t="s">
        <v>90</v>
      </c>
      <c r="L488">
        <v>90036</v>
      </c>
      <c r="M488" t="s">
        <v>85</v>
      </c>
      <c r="N488" t="s">
        <v>106</v>
      </c>
      <c r="O488" t="s">
        <v>43</v>
      </c>
      <c r="P488" t="s">
        <v>107</v>
      </c>
      <c r="Q488" t="s">
        <v>108</v>
      </c>
      <c r="R488">
        <v>13.5</v>
      </c>
      <c r="S488">
        <v>3</v>
      </c>
      <c r="T488">
        <v>0.5</v>
      </c>
      <c r="U488">
        <v>1.95</v>
      </c>
    </row>
    <row r="489" spans="1:21" x14ac:dyDescent="0.35">
      <c r="A489">
        <v>488</v>
      </c>
      <c r="B489" t="s">
        <v>415</v>
      </c>
      <c r="C489" s="1">
        <v>45749</v>
      </c>
      <c r="D489" s="1">
        <v>45750</v>
      </c>
      <c r="E489" t="s">
        <v>35</v>
      </c>
      <c r="F489" t="s">
        <v>336</v>
      </c>
      <c r="G489" t="s">
        <v>337</v>
      </c>
      <c r="H489" t="s">
        <v>25</v>
      </c>
      <c r="I489" t="s">
        <v>26</v>
      </c>
      <c r="J489" t="s">
        <v>89</v>
      </c>
      <c r="K489" t="s">
        <v>90</v>
      </c>
      <c r="L489">
        <v>90036</v>
      </c>
      <c r="M489" t="s">
        <v>85</v>
      </c>
      <c r="N489" t="s">
        <v>66</v>
      </c>
      <c r="O489" t="s">
        <v>47</v>
      </c>
      <c r="P489" t="s">
        <v>67</v>
      </c>
      <c r="Q489" t="s">
        <v>68</v>
      </c>
      <c r="R489">
        <v>1320</v>
      </c>
      <c r="S489">
        <v>4</v>
      </c>
      <c r="T489">
        <v>0</v>
      </c>
      <c r="U489">
        <v>223.71</v>
      </c>
    </row>
    <row r="490" spans="1:21" x14ac:dyDescent="0.35">
      <c r="A490">
        <v>489</v>
      </c>
      <c r="B490" t="s">
        <v>415</v>
      </c>
      <c r="C490" s="1">
        <v>45749</v>
      </c>
      <c r="D490" s="1">
        <v>45750</v>
      </c>
      <c r="E490" t="s">
        <v>22</v>
      </c>
      <c r="F490" t="s">
        <v>336</v>
      </c>
      <c r="G490" t="s">
        <v>337</v>
      </c>
      <c r="H490" t="s">
        <v>25</v>
      </c>
      <c r="I490" t="s">
        <v>26</v>
      </c>
      <c r="J490" t="s">
        <v>89</v>
      </c>
      <c r="K490" t="s">
        <v>90</v>
      </c>
      <c r="L490">
        <v>90036</v>
      </c>
      <c r="M490" t="s">
        <v>85</v>
      </c>
      <c r="N490" t="s">
        <v>125</v>
      </c>
      <c r="O490" t="s">
        <v>43</v>
      </c>
      <c r="P490" t="s">
        <v>126</v>
      </c>
      <c r="Q490" t="s">
        <v>127</v>
      </c>
      <c r="R490">
        <v>240</v>
      </c>
      <c r="S490">
        <v>4</v>
      </c>
      <c r="T490">
        <v>0.5</v>
      </c>
      <c r="U490">
        <v>-27.86</v>
      </c>
    </row>
    <row r="491" spans="1:21" x14ac:dyDescent="0.35">
      <c r="A491">
        <v>490</v>
      </c>
      <c r="B491" t="s">
        <v>415</v>
      </c>
      <c r="C491" s="1">
        <v>45749</v>
      </c>
      <c r="D491" s="1">
        <v>45750</v>
      </c>
      <c r="E491" t="s">
        <v>22</v>
      </c>
      <c r="F491" t="s">
        <v>336</v>
      </c>
      <c r="G491" t="s">
        <v>337</v>
      </c>
      <c r="H491" t="s">
        <v>25</v>
      </c>
      <c r="I491" t="s">
        <v>26</v>
      </c>
      <c r="J491" t="s">
        <v>89</v>
      </c>
      <c r="K491" t="s">
        <v>90</v>
      </c>
      <c r="L491">
        <v>90036</v>
      </c>
      <c r="M491" t="s">
        <v>85</v>
      </c>
      <c r="N491" t="s">
        <v>46</v>
      </c>
      <c r="O491" t="s">
        <v>47</v>
      </c>
      <c r="P491" t="s">
        <v>48</v>
      </c>
      <c r="Q491" t="s">
        <v>49</v>
      </c>
      <c r="R491">
        <v>156.80000000000001</v>
      </c>
      <c r="S491">
        <v>7</v>
      </c>
      <c r="T491">
        <v>0.3</v>
      </c>
      <c r="U491">
        <v>6.37</v>
      </c>
    </row>
    <row r="492" spans="1:21" x14ac:dyDescent="0.35">
      <c r="A492">
        <v>491</v>
      </c>
      <c r="B492" t="s">
        <v>416</v>
      </c>
      <c r="C492" s="1">
        <v>45509</v>
      </c>
      <c r="D492" s="1">
        <v>45512</v>
      </c>
      <c r="E492" t="s">
        <v>94</v>
      </c>
      <c r="F492" t="s">
        <v>373</v>
      </c>
      <c r="G492" t="s">
        <v>374</v>
      </c>
      <c r="H492" t="s">
        <v>38</v>
      </c>
      <c r="I492" t="s">
        <v>26</v>
      </c>
      <c r="J492" t="s">
        <v>63</v>
      </c>
      <c r="K492" t="s">
        <v>64</v>
      </c>
      <c r="L492">
        <v>37211</v>
      </c>
      <c r="M492" t="s">
        <v>65</v>
      </c>
      <c r="N492" t="s">
        <v>103</v>
      </c>
      <c r="O492" t="s">
        <v>47</v>
      </c>
      <c r="P492" t="s">
        <v>104</v>
      </c>
      <c r="Q492" t="s">
        <v>105</v>
      </c>
      <c r="R492">
        <v>623</v>
      </c>
      <c r="S492">
        <v>1</v>
      </c>
      <c r="T492">
        <v>0.3</v>
      </c>
      <c r="U492">
        <v>11.98</v>
      </c>
    </row>
    <row r="493" spans="1:21" x14ac:dyDescent="0.35">
      <c r="A493">
        <v>492</v>
      </c>
      <c r="B493" t="s">
        <v>416</v>
      </c>
      <c r="C493" s="1">
        <v>45509</v>
      </c>
      <c r="D493" s="1">
        <v>45512</v>
      </c>
      <c r="E493" t="s">
        <v>50</v>
      </c>
      <c r="F493" t="s">
        <v>373</v>
      </c>
      <c r="G493" t="s">
        <v>374</v>
      </c>
      <c r="H493" t="s">
        <v>38</v>
      </c>
      <c r="I493" t="s">
        <v>26</v>
      </c>
      <c r="J493" t="s">
        <v>63</v>
      </c>
      <c r="K493" t="s">
        <v>64</v>
      </c>
      <c r="L493">
        <v>37211</v>
      </c>
      <c r="M493" t="s">
        <v>65</v>
      </c>
      <c r="N493" t="s">
        <v>121</v>
      </c>
      <c r="O493" t="s">
        <v>47</v>
      </c>
      <c r="P493" t="s">
        <v>122</v>
      </c>
      <c r="Q493" t="s">
        <v>123</v>
      </c>
      <c r="R493">
        <v>3240</v>
      </c>
      <c r="S493">
        <v>6</v>
      </c>
      <c r="T493">
        <v>0</v>
      </c>
      <c r="U493">
        <v>614.41999999999996</v>
      </c>
    </row>
    <row r="494" spans="1:21" x14ac:dyDescent="0.35">
      <c r="A494">
        <v>493</v>
      </c>
      <c r="B494" t="s">
        <v>416</v>
      </c>
      <c r="C494" s="1">
        <v>45509</v>
      </c>
      <c r="D494" s="1">
        <v>45512</v>
      </c>
      <c r="E494" t="s">
        <v>22</v>
      </c>
      <c r="F494" t="s">
        <v>373</v>
      </c>
      <c r="G494" t="s">
        <v>374</v>
      </c>
      <c r="H494" t="s">
        <v>38</v>
      </c>
      <c r="I494" t="s">
        <v>26</v>
      </c>
      <c r="J494" t="s">
        <v>63</v>
      </c>
      <c r="K494" t="s">
        <v>64</v>
      </c>
      <c r="L494">
        <v>37211</v>
      </c>
      <c r="M494" t="s">
        <v>65</v>
      </c>
      <c r="N494" t="s">
        <v>66</v>
      </c>
      <c r="O494" t="s">
        <v>47</v>
      </c>
      <c r="P494" t="s">
        <v>67</v>
      </c>
      <c r="Q494" t="s">
        <v>68</v>
      </c>
      <c r="R494">
        <v>1485</v>
      </c>
      <c r="S494">
        <v>5</v>
      </c>
      <c r="T494">
        <v>0.1</v>
      </c>
      <c r="U494">
        <v>163.13999999999999</v>
      </c>
    </row>
    <row r="495" spans="1:21" x14ac:dyDescent="0.35">
      <c r="A495">
        <v>494</v>
      </c>
      <c r="B495" t="s">
        <v>416</v>
      </c>
      <c r="C495" s="1">
        <v>45509</v>
      </c>
      <c r="D495" s="1">
        <v>45512</v>
      </c>
      <c r="E495" t="s">
        <v>22</v>
      </c>
      <c r="F495" t="s">
        <v>373</v>
      </c>
      <c r="G495" t="s">
        <v>374</v>
      </c>
      <c r="H495" t="s">
        <v>38</v>
      </c>
      <c r="I495" t="s">
        <v>26</v>
      </c>
      <c r="J495" t="s">
        <v>63</v>
      </c>
      <c r="K495" t="s">
        <v>64</v>
      </c>
      <c r="L495">
        <v>37211</v>
      </c>
      <c r="M495" t="s">
        <v>65</v>
      </c>
      <c r="N495" t="s">
        <v>97</v>
      </c>
      <c r="O495" t="s">
        <v>31</v>
      </c>
      <c r="P495" t="s">
        <v>98</v>
      </c>
      <c r="Q495" t="s">
        <v>99</v>
      </c>
      <c r="R495">
        <v>780</v>
      </c>
      <c r="S495">
        <v>3</v>
      </c>
      <c r="T495">
        <v>0</v>
      </c>
      <c r="U495">
        <v>76.790000000000006</v>
      </c>
    </row>
    <row r="496" spans="1:21" x14ac:dyDescent="0.35">
      <c r="A496">
        <v>495</v>
      </c>
      <c r="B496" t="s">
        <v>417</v>
      </c>
      <c r="C496" s="1">
        <v>45578</v>
      </c>
      <c r="D496" s="1">
        <v>45579</v>
      </c>
      <c r="E496" t="s">
        <v>22</v>
      </c>
      <c r="F496" t="s">
        <v>289</v>
      </c>
      <c r="G496" t="s">
        <v>290</v>
      </c>
      <c r="H496" t="s">
        <v>62</v>
      </c>
      <c r="I496" t="s">
        <v>26</v>
      </c>
      <c r="J496" t="s">
        <v>57</v>
      </c>
      <c r="K496" t="s">
        <v>58</v>
      </c>
      <c r="L496">
        <v>10009</v>
      </c>
      <c r="M496" t="s">
        <v>29</v>
      </c>
      <c r="N496" t="s">
        <v>46</v>
      </c>
      <c r="O496" t="s">
        <v>47</v>
      </c>
      <c r="P496" t="s">
        <v>48</v>
      </c>
      <c r="Q496" t="s">
        <v>49</v>
      </c>
      <c r="R496">
        <v>102.4</v>
      </c>
      <c r="S496">
        <v>4</v>
      </c>
      <c r="T496">
        <v>0.2</v>
      </c>
      <c r="U496">
        <v>11.67</v>
      </c>
    </row>
    <row r="497" spans="1:21" x14ac:dyDescent="0.35">
      <c r="A497">
        <v>496</v>
      </c>
      <c r="B497" t="s">
        <v>418</v>
      </c>
      <c r="C497" s="1">
        <v>46042</v>
      </c>
      <c r="D497" s="1">
        <v>46046</v>
      </c>
      <c r="E497" t="s">
        <v>94</v>
      </c>
      <c r="F497" t="s">
        <v>153</v>
      </c>
      <c r="G497" t="s">
        <v>154</v>
      </c>
      <c r="H497" t="s">
        <v>25</v>
      </c>
      <c r="I497" t="s">
        <v>26</v>
      </c>
      <c r="J497" t="s">
        <v>89</v>
      </c>
      <c r="K497" t="s">
        <v>90</v>
      </c>
      <c r="L497">
        <v>90036</v>
      </c>
      <c r="M497" t="s">
        <v>85</v>
      </c>
      <c r="N497" t="s">
        <v>109</v>
      </c>
      <c r="O497" t="s">
        <v>31</v>
      </c>
      <c r="P497" t="s">
        <v>110</v>
      </c>
      <c r="Q497" t="s">
        <v>111</v>
      </c>
      <c r="R497">
        <v>157.5</v>
      </c>
      <c r="S497">
        <v>7</v>
      </c>
      <c r="T497">
        <v>0.1</v>
      </c>
      <c r="U497">
        <v>34.57</v>
      </c>
    </row>
    <row r="498" spans="1:21" x14ac:dyDescent="0.35">
      <c r="A498">
        <v>497</v>
      </c>
      <c r="B498" t="s">
        <v>418</v>
      </c>
      <c r="C498" s="1">
        <v>46042</v>
      </c>
      <c r="D498" s="1">
        <v>46046</v>
      </c>
      <c r="E498" t="s">
        <v>22</v>
      </c>
      <c r="F498" t="s">
        <v>153</v>
      </c>
      <c r="G498" t="s">
        <v>154</v>
      </c>
      <c r="H498" t="s">
        <v>25</v>
      </c>
      <c r="I498" t="s">
        <v>26</v>
      </c>
      <c r="J498" t="s">
        <v>89</v>
      </c>
      <c r="K498" t="s">
        <v>90</v>
      </c>
      <c r="L498">
        <v>90036</v>
      </c>
      <c r="M498" t="s">
        <v>85</v>
      </c>
      <c r="N498" t="s">
        <v>66</v>
      </c>
      <c r="O498" t="s">
        <v>47</v>
      </c>
      <c r="P498" t="s">
        <v>67</v>
      </c>
      <c r="Q498" t="s">
        <v>68</v>
      </c>
      <c r="R498">
        <v>1056</v>
      </c>
      <c r="S498">
        <v>4</v>
      </c>
      <c r="T498">
        <v>0.2</v>
      </c>
      <c r="U498">
        <v>53.86</v>
      </c>
    </row>
    <row r="499" spans="1:21" x14ac:dyDescent="0.35">
      <c r="A499">
        <v>498</v>
      </c>
      <c r="B499" t="s">
        <v>418</v>
      </c>
      <c r="C499" s="1">
        <v>46042</v>
      </c>
      <c r="D499" s="1">
        <v>46046</v>
      </c>
      <c r="E499" t="s">
        <v>50</v>
      </c>
      <c r="F499" t="s">
        <v>153</v>
      </c>
      <c r="G499" t="s">
        <v>154</v>
      </c>
      <c r="H499" t="s">
        <v>25</v>
      </c>
      <c r="I499" t="s">
        <v>26</v>
      </c>
      <c r="J499" t="s">
        <v>89</v>
      </c>
      <c r="K499" t="s">
        <v>90</v>
      </c>
      <c r="L499">
        <v>90036</v>
      </c>
      <c r="M499" t="s">
        <v>85</v>
      </c>
      <c r="N499" t="s">
        <v>77</v>
      </c>
      <c r="O499" t="s">
        <v>31</v>
      </c>
      <c r="P499" t="s">
        <v>78</v>
      </c>
      <c r="Q499" t="s">
        <v>79</v>
      </c>
      <c r="R499">
        <v>378</v>
      </c>
      <c r="S499">
        <v>1</v>
      </c>
      <c r="T499">
        <v>0.1</v>
      </c>
      <c r="U499">
        <v>-41.84</v>
      </c>
    </row>
    <row r="500" spans="1:21" x14ac:dyDescent="0.35">
      <c r="A500">
        <v>499</v>
      </c>
      <c r="B500" t="s">
        <v>419</v>
      </c>
      <c r="C500" s="1">
        <v>46147</v>
      </c>
      <c r="D500" s="1">
        <v>46152</v>
      </c>
      <c r="E500" t="s">
        <v>22</v>
      </c>
      <c r="F500" t="s">
        <v>182</v>
      </c>
      <c r="G500" t="s">
        <v>183</v>
      </c>
      <c r="H500" t="s">
        <v>25</v>
      </c>
      <c r="I500" t="s">
        <v>26</v>
      </c>
      <c r="J500" t="s">
        <v>162</v>
      </c>
      <c r="K500" t="s">
        <v>163</v>
      </c>
      <c r="L500">
        <v>28205</v>
      </c>
      <c r="M500" t="s">
        <v>65</v>
      </c>
      <c r="N500" t="s">
        <v>42</v>
      </c>
      <c r="O500" t="s">
        <v>43</v>
      </c>
      <c r="P500" t="s">
        <v>44</v>
      </c>
      <c r="Q500" t="s">
        <v>45</v>
      </c>
      <c r="R500">
        <v>33.6</v>
      </c>
      <c r="S500">
        <v>3</v>
      </c>
      <c r="T500">
        <v>0.2</v>
      </c>
      <c r="U500">
        <v>8.8000000000000007</v>
      </c>
    </row>
    <row r="501" spans="1:21" x14ac:dyDescent="0.35">
      <c r="A501">
        <v>500</v>
      </c>
      <c r="B501" t="s">
        <v>419</v>
      </c>
      <c r="C501" s="1">
        <v>46147</v>
      </c>
      <c r="D501" s="1">
        <v>46152</v>
      </c>
      <c r="E501" t="s">
        <v>50</v>
      </c>
      <c r="F501" t="s">
        <v>182</v>
      </c>
      <c r="G501" t="s">
        <v>183</v>
      </c>
      <c r="H501" t="s">
        <v>25</v>
      </c>
      <c r="I501" t="s">
        <v>26</v>
      </c>
      <c r="J501" t="s">
        <v>162</v>
      </c>
      <c r="K501" t="s">
        <v>163</v>
      </c>
      <c r="L501">
        <v>28205</v>
      </c>
      <c r="M501" t="s">
        <v>65</v>
      </c>
      <c r="N501" t="s">
        <v>125</v>
      </c>
      <c r="O501" t="s">
        <v>43</v>
      </c>
      <c r="P501" t="s">
        <v>126</v>
      </c>
      <c r="Q501" t="s">
        <v>127</v>
      </c>
      <c r="R501">
        <v>96</v>
      </c>
      <c r="S501">
        <v>1</v>
      </c>
      <c r="T501">
        <v>0.2</v>
      </c>
      <c r="U501">
        <v>6.64</v>
      </c>
    </row>
    <row r="502" spans="1:21" x14ac:dyDescent="0.35">
      <c r="A502">
        <v>501</v>
      </c>
      <c r="B502" t="s">
        <v>419</v>
      </c>
      <c r="C502" s="1">
        <v>46147</v>
      </c>
      <c r="D502" s="1">
        <v>46152</v>
      </c>
      <c r="E502" t="s">
        <v>94</v>
      </c>
      <c r="F502" t="s">
        <v>182</v>
      </c>
      <c r="G502" t="s">
        <v>183</v>
      </c>
      <c r="H502" t="s">
        <v>25</v>
      </c>
      <c r="I502" t="s">
        <v>26</v>
      </c>
      <c r="J502" t="s">
        <v>162</v>
      </c>
      <c r="K502" t="s">
        <v>163</v>
      </c>
      <c r="L502">
        <v>28205</v>
      </c>
      <c r="M502" t="s">
        <v>65</v>
      </c>
      <c r="N502" t="s">
        <v>106</v>
      </c>
      <c r="O502" t="s">
        <v>43</v>
      </c>
      <c r="P502" t="s">
        <v>107</v>
      </c>
      <c r="Q502" t="s">
        <v>108</v>
      </c>
      <c r="R502">
        <v>54</v>
      </c>
      <c r="S502">
        <v>6</v>
      </c>
      <c r="T502">
        <v>0</v>
      </c>
      <c r="U502">
        <v>15.58</v>
      </c>
    </row>
    <row r="503" spans="1:21" x14ac:dyDescent="0.35">
      <c r="A503">
        <v>502</v>
      </c>
      <c r="B503" t="s">
        <v>420</v>
      </c>
      <c r="C503" s="1">
        <v>45460</v>
      </c>
      <c r="D503" s="1">
        <v>45464</v>
      </c>
      <c r="E503" t="s">
        <v>35</v>
      </c>
      <c r="F503" t="s">
        <v>224</v>
      </c>
      <c r="G503" t="s">
        <v>143</v>
      </c>
      <c r="H503" t="s">
        <v>62</v>
      </c>
      <c r="I503" t="s">
        <v>26</v>
      </c>
      <c r="J503" t="s">
        <v>131</v>
      </c>
      <c r="K503" t="s">
        <v>90</v>
      </c>
      <c r="L503">
        <v>94122</v>
      </c>
      <c r="M503" t="s">
        <v>85</v>
      </c>
      <c r="N503" t="s">
        <v>51</v>
      </c>
      <c r="O503" t="s">
        <v>43</v>
      </c>
      <c r="P503" t="s">
        <v>52</v>
      </c>
      <c r="Q503" t="s">
        <v>53</v>
      </c>
      <c r="R503">
        <v>8</v>
      </c>
      <c r="S503">
        <v>1</v>
      </c>
      <c r="T503">
        <v>0</v>
      </c>
      <c r="U503">
        <v>0.71</v>
      </c>
    </row>
    <row r="504" spans="1:21" x14ac:dyDescent="0.35">
      <c r="A504">
        <v>503</v>
      </c>
      <c r="B504" t="s">
        <v>421</v>
      </c>
      <c r="C504" s="1">
        <v>46043</v>
      </c>
      <c r="D504" s="1">
        <v>46044</v>
      </c>
      <c r="E504" t="s">
        <v>22</v>
      </c>
      <c r="F504" t="s">
        <v>336</v>
      </c>
      <c r="G504" t="s">
        <v>337</v>
      </c>
      <c r="H504" t="s">
        <v>25</v>
      </c>
      <c r="I504" t="s">
        <v>26</v>
      </c>
      <c r="J504" t="s">
        <v>89</v>
      </c>
      <c r="K504" t="s">
        <v>90</v>
      </c>
      <c r="L504">
        <v>90036</v>
      </c>
      <c r="M504" t="s">
        <v>85</v>
      </c>
      <c r="N504" t="s">
        <v>42</v>
      </c>
      <c r="O504" t="s">
        <v>43</v>
      </c>
      <c r="P504" t="s">
        <v>44</v>
      </c>
      <c r="Q504" t="s">
        <v>45</v>
      </c>
      <c r="R504">
        <v>42</v>
      </c>
      <c r="S504">
        <v>3</v>
      </c>
      <c r="T504">
        <v>0</v>
      </c>
      <c r="U504">
        <v>14.96</v>
      </c>
    </row>
    <row r="505" spans="1:21" x14ac:dyDescent="0.35">
      <c r="A505">
        <v>504</v>
      </c>
      <c r="B505" t="s">
        <v>421</v>
      </c>
      <c r="C505" s="1">
        <v>46043</v>
      </c>
      <c r="D505" s="1">
        <v>46044</v>
      </c>
      <c r="E505" t="s">
        <v>94</v>
      </c>
      <c r="F505" t="s">
        <v>336</v>
      </c>
      <c r="G505" t="s">
        <v>337</v>
      </c>
      <c r="H505" t="s">
        <v>25</v>
      </c>
      <c r="I505" t="s">
        <v>26</v>
      </c>
      <c r="J505" t="s">
        <v>89</v>
      </c>
      <c r="K505" t="s">
        <v>90</v>
      </c>
      <c r="L505">
        <v>90036</v>
      </c>
      <c r="M505" t="s">
        <v>85</v>
      </c>
      <c r="N505" t="s">
        <v>46</v>
      </c>
      <c r="O505" t="s">
        <v>47</v>
      </c>
      <c r="P505" t="s">
        <v>48</v>
      </c>
      <c r="Q505" t="s">
        <v>49</v>
      </c>
      <c r="R505">
        <v>128</v>
      </c>
      <c r="S505">
        <v>5</v>
      </c>
      <c r="T505">
        <v>0.2</v>
      </c>
      <c r="U505">
        <v>13.31</v>
      </c>
    </row>
    <row r="506" spans="1:21" x14ac:dyDescent="0.35">
      <c r="A506">
        <v>505</v>
      </c>
      <c r="B506" t="s">
        <v>422</v>
      </c>
      <c r="C506" s="1">
        <v>46180</v>
      </c>
      <c r="D506" s="1">
        <v>46183</v>
      </c>
      <c r="E506" t="s">
        <v>35</v>
      </c>
      <c r="F506" t="s">
        <v>336</v>
      </c>
      <c r="G506" t="s">
        <v>337</v>
      </c>
      <c r="H506" t="s">
        <v>25</v>
      </c>
      <c r="I506" t="s">
        <v>26</v>
      </c>
      <c r="J506" t="s">
        <v>89</v>
      </c>
      <c r="K506" t="s">
        <v>90</v>
      </c>
      <c r="L506">
        <v>90036</v>
      </c>
      <c r="M506" t="s">
        <v>85</v>
      </c>
      <c r="N506" t="s">
        <v>30</v>
      </c>
      <c r="O506" t="s">
        <v>31</v>
      </c>
      <c r="P506" t="s">
        <v>32</v>
      </c>
      <c r="Q506" t="s">
        <v>33</v>
      </c>
      <c r="R506">
        <v>1242</v>
      </c>
      <c r="S506">
        <v>6</v>
      </c>
      <c r="T506">
        <v>0.1</v>
      </c>
      <c r="U506">
        <v>75.89</v>
      </c>
    </row>
    <row r="507" spans="1:21" x14ac:dyDescent="0.35">
      <c r="A507">
        <v>506</v>
      </c>
      <c r="B507" t="s">
        <v>422</v>
      </c>
      <c r="C507" s="1">
        <v>46180</v>
      </c>
      <c r="D507" s="1">
        <v>46183</v>
      </c>
      <c r="E507" t="s">
        <v>22</v>
      </c>
      <c r="F507" t="s">
        <v>336</v>
      </c>
      <c r="G507" t="s">
        <v>337</v>
      </c>
      <c r="H507" t="s">
        <v>25</v>
      </c>
      <c r="I507" t="s">
        <v>26</v>
      </c>
      <c r="J507" t="s">
        <v>89</v>
      </c>
      <c r="K507" t="s">
        <v>90</v>
      </c>
      <c r="L507">
        <v>90036</v>
      </c>
      <c r="M507" t="s">
        <v>85</v>
      </c>
      <c r="N507" t="s">
        <v>42</v>
      </c>
      <c r="O507" t="s">
        <v>43</v>
      </c>
      <c r="P507" t="s">
        <v>44</v>
      </c>
      <c r="Q507" t="s">
        <v>45</v>
      </c>
      <c r="R507">
        <v>44.8</v>
      </c>
      <c r="S507">
        <v>4</v>
      </c>
      <c r="T507">
        <v>0.2</v>
      </c>
      <c r="U507">
        <v>11.31</v>
      </c>
    </row>
    <row r="508" spans="1:21" x14ac:dyDescent="0.35">
      <c r="A508">
        <v>507</v>
      </c>
      <c r="B508" t="s">
        <v>422</v>
      </c>
      <c r="C508" s="1">
        <v>46180</v>
      </c>
      <c r="D508" s="1">
        <v>46183</v>
      </c>
      <c r="E508" t="s">
        <v>50</v>
      </c>
      <c r="F508" t="s">
        <v>336</v>
      </c>
      <c r="G508" t="s">
        <v>337</v>
      </c>
      <c r="H508" t="s">
        <v>25</v>
      </c>
      <c r="I508" t="s">
        <v>26</v>
      </c>
      <c r="J508" t="s">
        <v>89</v>
      </c>
      <c r="K508" t="s">
        <v>90</v>
      </c>
      <c r="L508">
        <v>90036</v>
      </c>
      <c r="M508" t="s">
        <v>85</v>
      </c>
      <c r="N508" t="s">
        <v>106</v>
      </c>
      <c r="O508" t="s">
        <v>43</v>
      </c>
      <c r="P508" t="s">
        <v>107</v>
      </c>
      <c r="Q508" t="s">
        <v>108</v>
      </c>
      <c r="R508">
        <v>9</v>
      </c>
      <c r="S508">
        <v>1</v>
      </c>
      <c r="T508">
        <v>0</v>
      </c>
      <c r="U508">
        <v>3.94</v>
      </c>
    </row>
    <row r="509" spans="1:21" x14ac:dyDescent="0.35">
      <c r="A509">
        <v>508</v>
      </c>
      <c r="B509" t="s">
        <v>422</v>
      </c>
      <c r="C509" s="1">
        <v>46180</v>
      </c>
      <c r="D509" s="1">
        <v>46183</v>
      </c>
      <c r="E509" t="s">
        <v>35</v>
      </c>
      <c r="F509" t="s">
        <v>336</v>
      </c>
      <c r="G509" t="s">
        <v>337</v>
      </c>
      <c r="H509" t="s">
        <v>25</v>
      </c>
      <c r="I509" t="s">
        <v>26</v>
      </c>
      <c r="J509" t="s">
        <v>89</v>
      </c>
      <c r="K509" t="s">
        <v>90</v>
      </c>
      <c r="L509">
        <v>90036</v>
      </c>
      <c r="M509" t="s">
        <v>85</v>
      </c>
      <c r="N509" t="s">
        <v>113</v>
      </c>
      <c r="O509" t="s">
        <v>43</v>
      </c>
      <c r="P509" t="s">
        <v>114</v>
      </c>
      <c r="Q509" t="s">
        <v>115</v>
      </c>
      <c r="R509">
        <v>69.3</v>
      </c>
      <c r="S509">
        <v>7</v>
      </c>
      <c r="T509">
        <v>0.1</v>
      </c>
      <c r="U509">
        <v>21.62</v>
      </c>
    </row>
    <row r="510" spans="1:21" x14ac:dyDescent="0.35">
      <c r="A510">
        <v>509</v>
      </c>
      <c r="B510" t="s">
        <v>423</v>
      </c>
      <c r="C510" s="1">
        <v>45468</v>
      </c>
      <c r="D510" s="1">
        <v>45471</v>
      </c>
      <c r="E510" t="s">
        <v>22</v>
      </c>
      <c r="F510" t="s">
        <v>213</v>
      </c>
      <c r="G510" t="s">
        <v>214</v>
      </c>
      <c r="H510" t="s">
        <v>25</v>
      </c>
      <c r="I510" t="s">
        <v>26</v>
      </c>
      <c r="J510" t="s">
        <v>75</v>
      </c>
      <c r="K510" t="s">
        <v>76</v>
      </c>
      <c r="L510">
        <v>2110</v>
      </c>
      <c r="M510" t="s">
        <v>29</v>
      </c>
      <c r="N510" t="s">
        <v>125</v>
      </c>
      <c r="O510" t="s">
        <v>43</v>
      </c>
      <c r="P510" t="s">
        <v>126</v>
      </c>
      <c r="Q510" t="s">
        <v>127</v>
      </c>
      <c r="R510">
        <v>480</v>
      </c>
      <c r="S510">
        <v>4</v>
      </c>
      <c r="T510">
        <v>0</v>
      </c>
      <c r="U510">
        <v>88.09</v>
      </c>
    </row>
    <row r="511" spans="1:21" x14ac:dyDescent="0.35">
      <c r="A511">
        <v>510</v>
      </c>
      <c r="B511" t="s">
        <v>423</v>
      </c>
      <c r="C511" s="1">
        <v>45468</v>
      </c>
      <c r="D511" s="1">
        <v>45471</v>
      </c>
      <c r="E511" t="s">
        <v>22</v>
      </c>
      <c r="F511" t="s">
        <v>213</v>
      </c>
      <c r="G511" t="s">
        <v>214</v>
      </c>
      <c r="H511" t="s">
        <v>25</v>
      </c>
      <c r="I511" t="s">
        <v>26</v>
      </c>
      <c r="J511" t="s">
        <v>75</v>
      </c>
      <c r="K511" t="s">
        <v>76</v>
      </c>
      <c r="L511">
        <v>2110</v>
      </c>
      <c r="M511" t="s">
        <v>29</v>
      </c>
      <c r="N511" t="s">
        <v>113</v>
      </c>
      <c r="O511" t="s">
        <v>43</v>
      </c>
      <c r="P511" t="s">
        <v>114</v>
      </c>
      <c r="Q511" t="s">
        <v>115</v>
      </c>
      <c r="R511">
        <v>39.6</v>
      </c>
      <c r="S511">
        <v>4</v>
      </c>
      <c r="T511">
        <v>0.1</v>
      </c>
      <c r="U511">
        <v>11.33</v>
      </c>
    </row>
    <row r="512" spans="1:21" x14ac:dyDescent="0.35">
      <c r="A512">
        <v>511</v>
      </c>
      <c r="B512" t="s">
        <v>423</v>
      </c>
      <c r="C512" s="1">
        <v>45468</v>
      </c>
      <c r="D512" s="1">
        <v>45471</v>
      </c>
      <c r="E512" t="s">
        <v>22</v>
      </c>
      <c r="F512" t="s">
        <v>213</v>
      </c>
      <c r="G512" t="s">
        <v>214</v>
      </c>
      <c r="H512" t="s">
        <v>25</v>
      </c>
      <c r="I512" t="s">
        <v>26</v>
      </c>
      <c r="J512" t="s">
        <v>75</v>
      </c>
      <c r="K512" t="s">
        <v>76</v>
      </c>
      <c r="L512">
        <v>2110</v>
      </c>
      <c r="M512" t="s">
        <v>29</v>
      </c>
      <c r="N512" t="s">
        <v>97</v>
      </c>
      <c r="O512" t="s">
        <v>31</v>
      </c>
      <c r="P512" t="s">
        <v>98</v>
      </c>
      <c r="Q512" t="s">
        <v>99</v>
      </c>
      <c r="R512">
        <v>234</v>
      </c>
      <c r="S512">
        <v>1</v>
      </c>
      <c r="T512">
        <v>0.1</v>
      </c>
      <c r="U512">
        <v>9.5500000000000007</v>
      </c>
    </row>
    <row r="513" spans="1:21" x14ac:dyDescent="0.35">
      <c r="A513">
        <v>512</v>
      </c>
      <c r="B513" t="s">
        <v>424</v>
      </c>
      <c r="C513" s="1">
        <v>46174</v>
      </c>
      <c r="D513" s="1">
        <v>46179</v>
      </c>
      <c r="E513" t="s">
        <v>22</v>
      </c>
      <c r="F513" t="s">
        <v>178</v>
      </c>
      <c r="G513" t="s">
        <v>179</v>
      </c>
      <c r="H513" t="s">
        <v>38</v>
      </c>
      <c r="I513" t="s">
        <v>26</v>
      </c>
      <c r="J513" t="s">
        <v>119</v>
      </c>
      <c r="K513" t="s">
        <v>120</v>
      </c>
      <c r="L513">
        <v>97206</v>
      </c>
      <c r="M513" t="s">
        <v>85</v>
      </c>
      <c r="N513" t="s">
        <v>113</v>
      </c>
      <c r="O513" t="s">
        <v>43</v>
      </c>
      <c r="P513" t="s">
        <v>114</v>
      </c>
      <c r="Q513" t="s">
        <v>115</v>
      </c>
      <c r="R513">
        <v>59.4</v>
      </c>
      <c r="S513">
        <v>6</v>
      </c>
      <c r="T513">
        <v>0.1</v>
      </c>
      <c r="U513">
        <v>15.99</v>
      </c>
    </row>
    <row r="514" spans="1:21" x14ac:dyDescent="0.35">
      <c r="A514">
        <v>513</v>
      </c>
      <c r="B514" t="s">
        <v>424</v>
      </c>
      <c r="C514" s="1">
        <v>46174</v>
      </c>
      <c r="D514" s="1">
        <v>46179</v>
      </c>
      <c r="E514" t="s">
        <v>50</v>
      </c>
      <c r="F514" t="s">
        <v>178</v>
      </c>
      <c r="G514" t="s">
        <v>179</v>
      </c>
      <c r="H514" t="s">
        <v>38</v>
      </c>
      <c r="I514" t="s">
        <v>26</v>
      </c>
      <c r="J514" t="s">
        <v>119</v>
      </c>
      <c r="K514" t="s">
        <v>120</v>
      </c>
      <c r="L514">
        <v>97206</v>
      </c>
      <c r="M514" t="s">
        <v>85</v>
      </c>
      <c r="N514" t="s">
        <v>42</v>
      </c>
      <c r="O514" t="s">
        <v>43</v>
      </c>
      <c r="P514" t="s">
        <v>44</v>
      </c>
      <c r="Q514" t="s">
        <v>45</v>
      </c>
      <c r="R514">
        <v>28</v>
      </c>
      <c r="S514">
        <v>2</v>
      </c>
      <c r="T514">
        <v>0</v>
      </c>
      <c r="U514">
        <v>11.74</v>
      </c>
    </row>
    <row r="515" spans="1:21" x14ac:dyDescent="0.35">
      <c r="A515">
        <v>514</v>
      </c>
      <c r="B515" t="s">
        <v>425</v>
      </c>
      <c r="C515" s="1">
        <v>46009</v>
      </c>
      <c r="D515" s="1">
        <v>46012</v>
      </c>
      <c r="E515" t="s">
        <v>94</v>
      </c>
      <c r="F515" t="s">
        <v>186</v>
      </c>
      <c r="G515" t="s">
        <v>187</v>
      </c>
      <c r="H515" t="s">
        <v>25</v>
      </c>
      <c r="I515" t="s">
        <v>26</v>
      </c>
      <c r="J515" t="s">
        <v>162</v>
      </c>
      <c r="K515" t="s">
        <v>163</v>
      </c>
      <c r="L515">
        <v>28205</v>
      </c>
      <c r="M515" t="s">
        <v>65</v>
      </c>
      <c r="N515" t="s">
        <v>66</v>
      </c>
      <c r="O515" t="s">
        <v>47</v>
      </c>
      <c r="P515" t="s">
        <v>67</v>
      </c>
      <c r="Q515" t="s">
        <v>68</v>
      </c>
      <c r="R515">
        <v>990</v>
      </c>
      <c r="S515">
        <v>3</v>
      </c>
      <c r="T515">
        <v>0</v>
      </c>
      <c r="U515">
        <v>168.13</v>
      </c>
    </row>
    <row r="516" spans="1:21" x14ac:dyDescent="0.35">
      <c r="A516">
        <v>515</v>
      </c>
      <c r="B516" t="s">
        <v>426</v>
      </c>
      <c r="C516" s="1">
        <v>45440</v>
      </c>
      <c r="D516" s="1">
        <v>45441</v>
      </c>
      <c r="E516" t="s">
        <v>22</v>
      </c>
      <c r="F516" t="s">
        <v>55</v>
      </c>
      <c r="G516" t="s">
        <v>56</v>
      </c>
      <c r="H516" t="s">
        <v>38</v>
      </c>
      <c r="I516" t="s">
        <v>26</v>
      </c>
      <c r="J516" t="s">
        <v>57</v>
      </c>
      <c r="K516" t="s">
        <v>58</v>
      </c>
      <c r="L516">
        <v>10009</v>
      </c>
      <c r="M516" t="s">
        <v>29</v>
      </c>
      <c r="N516" t="s">
        <v>51</v>
      </c>
      <c r="O516" t="s">
        <v>43</v>
      </c>
      <c r="P516" t="s">
        <v>52</v>
      </c>
      <c r="Q516" t="s">
        <v>53</v>
      </c>
      <c r="R516">
        <v>28</v>
      </c>
      <c r="S516">
        <v>5</v>
      </c>
      <c r="T516">
        <v>0.3</v>
      </c>
      <c r="U516">
        <v>1.07</v>
      </c>
    </row>
    <row r="517" spans="1:21" x14ac:dyDescent="0.35">
      <c r="A517">
        <v>516</v>
      </c>
      <c r="B517" t="s">
        <v>426</v>
      </c>
      <c r="C517" s="1">
        <v>45440</v>
      </c>
      <c r="D517" s="1">
        <v>45441</v>
      </c>
      <c r="E517" t="s">
        <v>35</v>
      </c>
      <c r="F517" t="s">
        <v>55</v>
      </c>
      <c r="G517" t="s">
        <v>56</v>
      </c>
      <c r="H517" t="s">
        <v>38</v>
      </c>
      <c r="I517" t="s">
        <v>26</v>
      </c>
      <c r="J517" t="s">
        <v>57</v>
      </c>
      <c r="K517" t="s">
        <v>58</v>
      </c>
      <c r="L517">
        <v>10009</v>
      </c>
      <c r="M517" t="s">
        <v>29</v>
      </c>
      <c r="N517" t="s">
        <v>69</v>
      </c>
      <c r="O517" t="s">
        <v>43</v>
      </c>
      <c r="P517" t="s">
        <v>70</v>
      </c>
      <c r="Q517" t="s">
        <v>71</v>
      </c>
      <c r="R517">
        <v>315</v>
      </c>
      <c r="S517">
        <v>7</v>
      </c>
      <c r="T517">
        <v>0</v>
      </c>
      <c r="U517">
        <v>48.39</v>
      </c>
    </row>
    <row r="518" spans="1:21" x14ac:dyDescent="0.35">
      <c r="A518">
        <v>517</v>
      </c>
      <c r="B518" t="s">
        <v>426</v>
      </c>
      <c r="C518" s="1">
        <v>45440</v>
      </c>
      <c r="D518" s="1">
        <v>45441</v>
      </c>
      <c r="E518" t="s">
        <v>22</v>
      </c>
      <c r="F518" t="s">
        <v>55</v>
      </c>
      <c r="G518" t="s">
        <v>56</v>
      </c>
      <c r="H518" t="s">
        <v>38</v>
      </c>
      <c r="I518" t="s">
        <v>26</v>
      </c>
      <c r="J518" t="s">
        <v>57</v>
      </c>
      <c r="K518" t="s">
        <v>58</v>
      </c>
      <c r="L518">
        <v>10009</v>
      </c>
      <c r="M518" t="s">
        <v>29</v>
      </c>
      <c r="N518" t="s">
        <v>109</v>
      </c>
      <c r="O518" t="s">
        <v>31</v>
      </c>
      <c r="P518" t="s">
        <v>110</v>
      </c>
      <c r="Q518" t="s">
        <v>111</v>
      </c>
      <c r="R518">
        <v>37.5</v>
      </c>
      <c r="S518">
        <v>3</v>
      </c>
      <c r="T518">
        <v>0.5</v>
      </c>
      <c r="U518">
        <v>-0.2</v>
      </c>
    </row>
    <row r="519" spans="1:21" x14ac:dyDescent="0.35">
      <c r="A519">
        <v>518</v>
      </c>
      <c r="B519" t="s">
        <v>427</v>
      </c>
      <c r="C519" s="1">
        <v>46116</v>
      </c>
      <c r="D519" s="1">
        <v>46121</v>
      </c>
      <c r="E519" t="s">
        <v>35</v>
      </c>
      <c r="F519" t="s">
        <v>60</v>
      </c>
      <c r="G519" t="s">
        <v>61</v>
      </c>
      <c r="H519" t="s">
        <v>62</v>
      </c>
      <c r="I519" t="s">
        <v>26</v>
      </c>
      <c r="J519" t="s">
        <v>63</v>
      </c>
      <c r="K519" t="s">
        <v>64</v>
      </c>
      <c r="L519">
        <v>37211</v>
      </c>
      <c r="M519" t="s">
        <v>65</v>
      </c>
      <c r="N519" t="s">
        <v>42</v>
      </c>
      <c r="O519" t="s">
        <v>43</v>
      </c>
      <c r="P519" t="s">
        <v>44</v>
      </c>
      <c r="Q519" t="s">
        <v>45</v>
      </c>
      <c r="R519">
        <v>33.6</v>
      </c>
      <c r="S519">
        <v>3</v>
      </c>
      <c r="T519">
        <v>0.2</v>
      </c>
      <c r="U519">
        <v>11.08</v>
      </c>
    </row>
    <row r="520" spans="1:21" x14ac:dyDescent="0.35">
      <c r="A520">
        <v>519</v>
      </c>
      <c r="B520" t="s">
        <v>427</v>
      </c>
      <c r="C520" s="1">
        <v>46116</v>
      </c>
      <c r="D520" s="1">
        <v>46121</v>
      </c>
      <c r="E520" t="s">
        <v>50</v>
      </c>
      <c r="F520" t="s">
        <v>60</v>
      </c>
      <c r="G520" t="s">
        <v>61</v>
      </c>
      <c r="H520" t="s">
        <v>62</v>
      </c>
      <c r="I520" t="s">
        <v>26</v>
      </c>
      <c r="J520" t="s">
        <v>63</v>
      </c>
      <c r="K520" t="s">
        <v>64</v>
      </c>
      <c r="L520">
        <v>37211</v>
      </c>
      <c r="M520" t="s">
        <v>65</v>
      </c>
      <c r="N520" t="s">
        <v>69</v>
      </c>
      <c r="O520" t="s">
        <v>43</v>
      </c>
      <c r="P520" t="s">
        <v>70</v>
      </c>
      <c r="Q520" t="s">
        <v>71</v>
      </c>
      <c r="R520">
        <v>36</v>
      </c>
      <c r="S520">
        <v>1</v>
      </c>
      <c r="T520">
        <v>0.2</v>
      </c>
      <c r="U520">
        <v>1.73</v>
      </c>
    </row>
    <row r="521" spans="1:21" x14ac:dyDescent="0.35">
      <c r="A521">
        <v>520</v>
      </c>
      <c r="B521" t="s">
        <v>428</v>
      </c>
      <c r="C521" s="1">
        <v>46232</v>
      </c>
      <c r="D521" s="1">
        <v>46234</v>
      </c>
      <c r="E521" t="s">
        <v>94</v>
      </c>
      <c r="F521" t="s">
        <v>343</v>
      </c>
      <c r="G521" t="s">
        <v>344</v>
      </c>
      <c r="H521" t="s">
        <v>25</v>
      </c>
      <c r="I521" t="s">
        <v>26</v>
      </c>
      <c r="J521" t="s">
        <v>150</v>
      </c>
      <c r="K521" t="s">
        <v>151</v>
      </c>
      <c r="L521">
        <v>33311</v>
      </c>
      <c r="M521" t="s">
        <v>65</v>
      </c>
      <c r="N521" t="s">
        <v>46</v>
      </c>
      <c r="O521" t="s">
        <v>47</v>
      </c>
      <c r="P521" t="s">
        <v>48</v>
      </c>
      <c r="Q521" t="s">
        <v>49</v>
      </c>
      <c r="R521">
        <v>32</v>
      </c>
      <c r="S521">
        <v>1</v>
      </c>
      <c r="T521">
        <v>0</v>
      </c>
      <c r="U521">
        <v>6.71</v>
      </c>
    </row>
    <row r="522" spans="1:21" x14ac:dyDescent="0.35">
      <c r="A522">
        <v>521</v>
      </c>
      <c r="B522" t="s">
        <v>428</v>
      </c>
      <c r="C522" s="1">
        <v>46232</v>
      </c>
      <c r="D522" s="1">
        <v>46234</v>
      </c>
      <c r="E522" t="s">
        <v>35</v>
      </c>
      <c r="F522" t="s">
        <v>343</v>
      </c>
      <c r="G522" t="s">
        <v>344</v>
      </c>
      <c r="H522" t="s">
        <v>25</v>
      </c>
      <c r="I522" t="s">
        <v>26</v>
      </c>
      <c r="J522" t="s">
        <v>150</v>
      </c>
      <c r="K522" t="s">
        <v>151</v>
      </c>
      <c r="L522">
        <v>33311</v>
      </c>
      <c r="M522" t="s">
        <v>65</v>
      </c>
      <c r="N522" t="s">
        <v>30</v>
      </c>
      <c r="O522" t="s">
        <v>31</v>
      </c>
      <c r="P522" t="s">
        <v>32</v>
      </c>
      <c r="Q522" t="s">
        <v>33</v>
      </c>
      <c r="R522">
        <v>920</v>
      </c>
      <c r="S522">
        <v>5</v>
      </c>
      <c r="T522">
        <v>0.2</v>
      </c>
      <c r="U522">
        <v>-0.71</v>
      </c>
    </row>
    <row r="523" spans="1:21" x14ac:dyDescent="0.35">
      <c r="A523">
        <v>522</v>
      </c>
      <c r="B523" t="s">
        <v>428</v>
      </c>
      <c r="C523" s="1">
        <v>46232</v>
      </c>
      <c r="D523" s="1">
        <v>46234</v>
      </c>
      <c r="E523" t="s">
        <v>35</v>
      </c>
      <c r="F523" t="s">
        <v>343</v>
      </c>
      <c r="G523" t="s">
        <v>344</v>
      </c>
      <c r="H523" t="s">
        <v>25</v>
      </c>
      <c r="I523" t="s">
        <v>26</v>
      </c>
      <c r="J523" t="s">
        <v>150</v>
      </c>
      <c r="K523" t="s">
        <v>151</v>
      </c>
      <c r="L523">
        <v>33311</v>
      </c>
      <c r="M523" t="s">
        <v>65</v>
      </c>
      <c r="N523" t="s">
        <v>97</v>
      </c>
      <c r="O523" t="s">
        <v>31</v>
      </c>
      <c r="P523" t="s">
        <v>98</v>
      </c>
      <c r="Q523" t="s">
        <v>99</v>
      </c>
      <c r="R523">
        <v>468</v>
      </c>
      <c r="S523">
        <v>2</v>
      </c>
      <c r="T523">
        <v>0.1</v>
      </c>
      <c r="U523">
        <v>16.84</v>
      </c>
    </row>
    <row r="524" spans="1:21" x14ac:dyDescent="0.35">
      <c r="A524">
        <v>523</v>
      </c>
      <c r="B524" t="s">
        <v>429</v>
      </c>
      <c r="C524" s="1">
        <v>46044</v>
      </c>
      <c r="D524" s="1">
        <v>46047</v>
      </c>
      <c r="E524" t="s">
        <v>22</v>
      </c>
      <c r="F524" t="s">
        <v>139</v>
      </c>
      <c r="G524" t="s">
        <v>140</v>
      </c>
      <c r="H524" t="s">
        <v>25</v>
      </c>
      <c r="I524" t="s">
        <v>26</v>
      </c>
      <c r="J524" t="s">
        <v>39</v>
      </c>
      <c r="K524" t="s">
        <v>40</v>
      </c>
      <c r="L524">
        <v>53711</v>
      </c>
      <c r="M524" t="s">
        <v>41</v>
      </c>
      <c r="N524" t="s">
        <v>95</v>
      </c>
      <c r="O524" t="s">
        <v>47</v>
      </c>
      <c r="P524" t="s">
        <v>48</v>
      </c>
      <c r="Q524" t="s">
        <v>96</v>
      </c>
      <c r="R524">
        <v>77</v>
      </c>
      <c r="S524">
        <v>7</v>
      </c>
      <c r="T524">
        <v>0.5</v>
      </c>
      <c r="U524">
        <v>-1.94</v>
      </c>
    </row>
    <row r="525" spans="1:21" x14ac:dyDescent="0.35">
      <c r="A525">
        <v>524</v>
      </c>
      <c r="B525" t="s">
        <v>429</v>
      </c>
      <c r="C525" s="1">
        <v>46044</v>
      </c>
      <c r="D525" s="1">
        <v>46047</v>
      </c>
      <c r="E525" t="s">
        <v>22</v>
      </c>
      <c r="F525" t="s">
        <v>139</v>
      </c>
      <c r="G525" t="s">
        <v>140</v>
      </c>
      <c r="H525" t="s">
        <v>25</v>
      </c>
      <c r="I525" t="s">
        <v>26</v>
      </c>
      <c r="J525" t="s">
        <v>39</v>
      </c>
      <c r="K525" t="s">
        <v>40</v>
      </c>
      <c r="L525">
        <v>53711</v>
      </c>
      <c r="M525" t="s">
        <v>41</v>
      </c>
      <c r="N525" t="s">
        <v>103</v>
      </c>
      <c r="O525" t="s">
        <v>47</v>
      </c>
      <c r="P525" t="s">
        <v>104</v>
      </c>
      <c r="Q525" t="s">
        <v>105</v>
      </c>
      <c r="R525">
        <v>4984</v>
      </c>
      <c r="S525">
        <v>7</v>
      </c>
      <c r="T525">
        <v>0.2</v>
      </c>
      <c r="U525">
        <v>399.63</v>
      </c>
    </row>
    <row r="526" spans="1:21" x14ac:dyDescent="0.35">
      <c r="A526">
        <v>525</v>
      </c>
      <c r="B526" t="s">
        <v>429</v>
      </c>
      <c r="C526" s="1">
        <v>46044</v>
      </c>
      <c r="D526" s="1">
        <v>46047</v>
      </c>
      <c r="E526" t="s">
        <v>50</v>
      </c>
      <c r="F526" t="s">
        <v>139</v>
      </c>
      <c r="G526" t="s">
        <v>140</v>
      </c>
      <c r="H526" t="s">
        <v>25</v>
      </c>
      <c r="I526" t="s">
        <v>26</v>
      </c>
      <c r="J526" t="s">
        <v>39</v>
      </c>
      <c r="K526" t="s">
        <v>40</v>
      </c>
      <c r="L526">
        <v>53711</v>
      </c>
      <c r="M526" t="s">
        <v>41</v>
      </c>
      <c r="N526" t="s">
        <v>121</v>
      </c>
      <c r="O526" t="s">
        <v>47</v>
      </c>
      <c r="P526" t="s">
        <v>122</v>
      </c>
      <c r="Q526" t="s">
        <v>123</v>
      </c>
      <c r="R526">
        <v>1620</v>
      </c>
      <c r="S526">
        <v>3</v>
      </c>
      <c r="T526">
        <v>0</v>
      </c>
      <c r="U526">
        <v>307.18</v>
      </c>
    </row>
    <row r="527" spans="1:21" x14ac:dyDescent="0.35">
      <c r="A527">
        <v>526</v>
      </c>
      <c r="B527" t="s">
        <v>430</v>
      </c>
      <c r="C527" s="1">
        <v>45696</v>
      </c>
      <c r="D527" s="1">
        <v>45701</v>
      </c>
      <c r="E527" t="s">
        <v>94</v>
      </c>
      <c r="F527" t="s">
        <v>298</v>
      </c>
      <c r="G527" t="s">
        <v>299</v>
      </c>
      <c r="H527" t="s">
        <v>62</v>
      </c>
      <c r="I527" t="s">
        <v>26</v>
      </c>
      <c r="J527" t="s">
        <v>248</v>
      </c>
      <c r="K527" t="s">
        <v>174</v>
      </c>
      <c r="L527">
        <v>75217</v>
      </c>
      <c r="M527" t="s">
        <v>41</v>
      </c>
      <c r="N527" t="s">
        <v>97</v>
      </c>
      <c r="O527" t="s">
        <v>31</v>
      </c>
      <c r="P527" t="s">
        <v>98</v>
      </c>
      <c r="Q527" t="s">
        <v>99</v>
      </c>
      <c r="R527">
        <v>624</v>
      </c>
      <c r="S527">
        <v>3</v>
      </c>
      <c r="T527">
        <v>0.2</v>
      </c>
      <c r="U527">
        <v>-11.22</v>
      </c>
    </row>
    <row r="528" spans="1:21" x14ac:dyDescent="0.35">
      <c r="A528">
        <v>527</v>
      </c>
      <c r="B528" t="s">
        <v>430</v>
      </c>
      <c r="C528" s="1">
        <v>45696</v>
      </c>
      <c r="D528" s="1">
        <v>45701</v>
      </c>
      <c r="E528" t="s">
        <v>22</v>
      </c>
      <c r="F528" t="s">
        <v>298</v>
      </c>
      <c r="G528" t="s">
        <v>299</v>
      </c>
      <c r="H528" t="s">
        <v>62</v>
      </c>
      <c r="I528" t="s">
        <v>26</v>
      </c>
      <c r="J528" t="s">
        <v>248</v>
      </c>
      <c r="K528" t="s">
        <v>174</v>
      </c>
      <c r="L528">
        <v>75217</v>
      </c>
      <c r="M528" t="s">
        <v>41</v>
      </c>
      <c r="N528" t="s">
        <v>51</v>
      </c>
      <c r="O528" t="s">
        <v>43</v>
      </c>
      <c r="P528" t="s">
        <v>52</v>
      </c>
      <c r="Q528" t="s">
        <v>53</v>
      </c>
      <c r="R528">
        <v>32</v>
      </c>
      <c r="S528">
        <v>4</v>
      </c>
      <c r="T528">
        <v>0</v>
      </c>
      <c r="U528">
        <v>8.65</v>
      </c>
    </row>
    <row r="529" spans="1:21" x14ac:dyDescent="0.35">
      <c r="A529">
        <v>528</v>
      </c>
      <c r="B529" t="s">
        <v>431</v>
      </c>
      <c r="C529" s="1">
        <v>45419</v>
      </c>
      <c r="D529" s="1">
        <v>45425</v>
      </c>
      <c r="E529" t="s">
        <v>35</v>
      </c>
      <c r="F529" t="s">
        <v>232</v>
      </c>
      <c r="G529" t="s">
        <v>56</v>
      </c>
      <c r="H529" t="s">
        <v>62</v>
      </c>
      <c r="I529" t="s">
        <v>26</v>
      </c>
      <c r="J529" t="s">
        <v>119</v>
      </c>
      <c r="K529" t="s">
        <v>120</v>
      </c>
      <c r="L529">
        <v>97206</v>
      </c>
      <c r="M529" t="s">
        <v>85</v>
      </c>
      <c r="N529" t="s">
        <v>109</v>
      </c>
      <c r="O529" t="s">
        <v>31</v>
      </c>
      <c r="P529" t="s">
        <v>110</v>
      </c>
      <c r="Q529" t="s">
        <v>111</v>
      </c>
      <c r="R529">
        <v>62.5</v>
      </c>
      <c r="S529">
        <v>5</v>
      </c>
      <c r="T529">
        <v>0.5</v>
      </c>
      <c r="U529">
        <v>-2.17</v>
      </c>
    </row>
    <row r="530" spans="1:21" x14ac:dyDescent="0.35">
      <c r="A530">
        <v>529</v>
      </c>
      <c r="B530" t="s">
        <v>431</v>
      </c>
      <c r="C530" s="1">
        <v>45419</v>
      </c>
      <c r="D530" s="1">
        <v>45425</v>
      </c>
      <c r="E530" t="s">
        <v>50</v>
      </c>
      <c r="F530" t="s">
        <v>232</v>
      </c>
      <c r="G530" t="s">
        <v>56</v>
      </c>
      <c r="H530" t="s">
        <v>62</v>
      </c>
      <c r="I530" t="s">
        <v>26</v>
      </c>
      <c r="J530" t="s">
        <v>119</v>
      </c>
      <c r="K530" t="s">
        <v>120</v>
      </c>
      <c r="L530">
        <v>97206</v>
      </c>
      <c r="M530" t="s">
        <v>85</v>
      </c>
      <c r="N530" t="s">
        <v>66</v>
      </c>
      <c r="O530" t="s">
        <v>47</v>
      </c>
      <c r="P530" t="s">
        <v>67</v>
      </c>
      <c r="Q530" t="s">
        <v>68</v>
      </c>
      <c r="R530">
        <v>2310</v>
      </c>
      <c r="S530">
        <v>7</v>
      </c>
      <c r="T530">
        <v>0</v>
      </c>
      <c r="U530">
        <v>392.67</v>
      </c>
    </row>
    <row r="531" spans="1:21" x14ac:dyDescent="0.35">
      <c r="A531">
        <v>530</v>
      </c>
      <c r="B531" t="s">
        <v>431</v>
      </c>
      <c r="C531" s="1">
        <v>45419</v>
      </c>
      <c r="D531" s="1">
        <v>45425</v>
      </c>
      <c r="E531" t="s">
        <v>22</v>
      </c>
      <c r="F531" t="s">
        <v>232</v>
      </c>
      <c r="G531" t="s">
        <v>56</v>
      </c>
      <c r="H531" t="s">
        <v>62</v>
      </c>
      <c r="I531" t="s">
        <v>26</v>
      </c>
      <c r="J531" t="s">
        <v>119</v>
      </c>
      <c r="K531" t="s">
        <v>120</v>
      </c>
      <c r="L531">
        <v>97206</v>
      </c>
      <c r="M531" t="s">
        <v>85</v>
      </c>
      <c r="N531" t="s">
        <v>106</v>
      </c>
      <c r="O531" t="s">
        <v>43</v>
      </c>
      <c r="P531" t="s">
        <v>107</v>
      </c>
      <c r="Q531" t="s">
        <v>108</v>
      </c>
      <c r="R531">
        <v>8.1</v>
      </c>
      <c r="S531">
        <v>1</v>
      </c>
      <c r="T531">
        <v>0.1</v>
      </c>
      <c r="U531">
        <v>2.0699999999999998</v>
      </c>
    </row>
    <row r="532" spans="1:21" x14ac:dyDescent="0.35">
      <c r="A532">
        <v>531</v>
      </c>
      <c r="B532" t="s">
        <v>431</v>
      </c>
      <c r="C532" s="1">
        <v>45419</v>
      </c>
      <c r="D532" s="1">
        <v>45425</v>
      </c>
      <c r="E532" t="s">
        <v>35</v>
      </c>
      <c r="F532" t="s">
        <v>232</v>
      </c>
      <c r="G532" t="s">
        <v>56</v>
      </c>
      <c r="H532" t="s">
        <v>62</v>
      </c>
      <c r="I532" t="s">
        <v>26</v>
      </c>
      <c r="J532" t="s">
        <v>119</v>
      </c>
      <c r="K532" t="s">
        <v>120</v>
      </c>
      <c r="L532">
        <v>97206</v>
      </c>
      <c r="M532" t="s">
        <v>85</v>
      </c>
      <c r="N532" t="s">
        <v>103</v>
      </c>
      <c r="O532" t="s">
        <v>47</v>
      </c>
      <c r="P532" t="s">
        <v>104</v>
      </c>
      <c r="Q532" t="s">
        <v>105</v>
      </c>
      <c r="R532">
        <v>1602</v>
      </c>
      <c r="S532">
        <v>2</v>
      </c>
      <c r="T532">
        <v>0.1</v>
      </c>
      <c r="U532">
        <v>224.82</v>
      </c>
    </row>
    <row r="533" spans="1:21" x14ac:dyDescent="0.35">
      <c r="A533">
        <v>532</v>
      </c>
      <c r="B533" t="s">
        <v>432</v>
      </c>
      <c r="C533" s="1">
        <v>45892</v>
      </c>
      <c r="D533" s="1">
        <v>45898</v>
      </c>
      <c r="E533" t="s">
        <v>22</v>
      </c>
      <c r="F533" t="s">
        <v>186</v>
      </c>
      <c r="G533" t="s">
        <v>187</v>
      </c>
      <c r="H533" t="s">
        <v>25</v>
      </c>
      <c r="I533" t="s">
        <v>26</v>
      </c>
      <c r="J533" t="s">
        <v>162</v>
      </c>
      <c r="K533" t="s">
        <v>163</v>
      </c>
      <c r="L533">
        <v>28205</v>
      </c>
      <c r="M533" t="s">
        <v>65</v>
      </c>
      <c r="N533" t="s">
        <v>95</v>
      </c>
      <c r="O533" t="s">
        <v>47</v>
      </c>
      <c r="P533" t="s">
        <v>48</v>
      </c>
      <c r="Q533" t="s">
        <v>96</v>
      </c>
      <c r="R533">
        <v>138.6</v>
      </c>
      <c r="S533">
        <v>7</v>
      </c>
      <c r="T533">
        <v>0.1</v>
      </c>
      <c r="U533">
        <v>34.72</v>
      </c>
    </row>
    <row r="534" spans="1:21" x14ac:dyDescent="0.35">
      <c r="A534">
        <v>533</v>
      </c>
      <c r="B534" t="s">
        <v>432</v>
      </c>
      <c r="C534" s="1">
        <v>45892</v>
      </c>
      <c r="D534" s="1">
        <v>45898</v>
      </c>
      <c r="E534" t="s">
        <v>22</v>
      </c>
      <c r="F534" t="s">
        <v>186</v>
      </c>
      <c r="G534" t="s">
        <v>187</v>
      </c>
      <c r="H534" t="s">
        <v>25</v>
      </c>
      <c r="I534" t="s">
        <v>26</v>
      </c>
      <c r="J534" t="s">
        <v>162</v>
      </c>
      <c r="K534" t="s">
        <v>163</v>
      </c>
      <c r="L534">
        <v>28205</v>
      </c>
      <c r="M534" t="s">
        <v>65</v>
      </c>
      <c r="N534" t="s">
        <v>66</v>
      </c>
      <c r="O534" t="s">
        <v>47</v>
      </c>
      <c r="P534" t="s">
        <v>67</v>
      </c>
      <c r="Q534" t="s">
        <v>68</v>
      </c>
      <c r="R534">
        <v>1782</v>
      </c>
      <c r="S534">
        <v>6</v>
      </c>
      <c r="T534">
        <v>0.1</v>
      </c>
      <c r="U534">
        <v>195.08</v>
      </c>
    </row>
    <row r="535" spans="1:21" x14ac:dyDescent="0.35">
      <c r="A535">
        <v>534</v>
      </c>
      <c r="B535" t="s">
        <v>432</v>
      </c>
      <c r="C535" s="1">
        <v>45892</v>
      </c>
      <c r="D535" s="1">
        <v>45898</v>
      </c>
      <c r="E535" t="s">
        <v>50</v>
      </c>
      <c r="F535" t="s">
        <v>186</v>
      </c>
      <c r="G535" t="s">
        <v>187</v>
      </c>
      <c r="H535" t="s">
        <v>25</v>
      </c>
      <c r="I535" t="s">
        <v>26</v>
      </c>
      <c r="J535" t="s">
        <v>162</v>
      </c>
      <c r="K535" t="s">
        <v>163</v>
      </c>
      <c r="L535">
        <v>28205</v>
      </c>
      <c r="M535" t="s">
        <v>65</v>
      </c>
      <c r="N535" t="s">
        <v>103</v>
      </c>
      <c r="O535" t="s">
        <v>47</v>
      </c>
      <c r="P535" t="s">
        <v>104</v>
      </c>
      <c r="Q535" t="s">
        <v>105</v>
      </c>
      <c r="R535">
        <v>890</v>
      </c>
      <c r="S535">
        <v>2</v>
      </c>
      <c r="T535">
        <v>0.5</v>
      </c>
      <c r="U535">
        <v>-90.83</v>
      </c>
    </row>
    <row r="536" spans="1:21" x14ac:dyDescent="0.35">
      <c r="A536">
        <v>535</v>
      </c>
      <c r="B536" t="s">
        <v>432</v>
      </c>
      <c r="C536" s="1">
        <v>45892</v>
      </c>
      <c r="D536" s="1">
        <v>45898</v>
      </c>
      <c r="E536" t="s">
        <v>22</v>
      </c>
      <c r="F536" t="s">
        <v>186</v>
      </c>
      <c r="G536" t="s">
        <v>187</v>
      </c>
      <c r="H536" t="s">
        <v>25</v>
      </c>
      <c r="I536" t="s">
        <v>26</v>
      </c>
      <c r="J536" t="s">
        <v>162</v>
      </c>
      <c r="K536" t="s">
        <v>163</v>
      </c>
      <c r="L536">
        <v>28205</v>
      </c>
      <c r="M536" t="s">
        <v>65</v>
      </c>
      <c r="N536" t="s">
        <v>113</v>
      </c>
      <c r="O536" t="s">
        <v>43</v>
      </c>
      <c r="P536" t="s">
        <v>114</v>
      </c>
      <c r="Q536" t="s">
        <v>115</v>
      </c>
      <c r="R536">
        <v>44</v>
      </c>
      <c r="S536">
        <v>5</v>
      </c>
      <c r="T536">
        <v>0.2</v>
      </c>
      <c r="U536">
        <v>8.32</v>
      </c>
    </row>
    <row r="537" spans="1:21" x14ac:dyDescent="0.35">
      <c r="A537">
        <v>536</v>
      </c>
      <c r="B537" t="s">
        <v>433</v>
      </c>
      <c r="C537" s="1">
        <v>45596</v>
      </c>
      <c r="D537" s="1">
        <v>45601</v>
      </c>
      <c r="E537" t="s">
        <v>94</v>
      </c>
      <c r="F537" t="s">
        <v>190</v>
      </c>
      <c r="G537" t="s">
        <v>191</v>
      </c>
      <c r="H537" t="s">
        <v>38</v>
      </c>
      <c r="I537" t="s">
        <v>26</v>
      </c>
      <c r="J537" t="s">
        <v>131</v>
      </c>
      <c r="K537" t="s">
        <v>90</v>
      </c>
      <c r="L537">
        <v>94122</v>
      </c>
      <c r="M537" t="s">
        <v>85</v>
      </c>
      <c r="N537" t="s">
        <v>42</v>
      </c>
      <c r="O537" t="s">
        <v>43</v>
      </c>
      <c r="P537" t="s">
        <v>44</v>
      </c>
      <c r="Q537" t="s">
        <v>45</v>
      </c>
      <c r="R537">
        <v>78.400000000000006</v>
      </c>
      <c r="S537">
        <v>7</v>
      </c>
      <c r="T537">
        <v>0.2</v>
      </c>
      <c r="U537">
        <v>22.69</v>
      </c>
    </row>
    <row r="538" spans="1:21" x14ac:dyDescent="0.35">
      <c r="A538">
        <v>537</v>
      </c>
      <c r="B538" t="s">
        <v>434</v>
      </c>
      <c r="C538" s="1">
        <v>45416</v>
      </c>
      <c r="D538" s="1">
        <v>45421</v>
      </c>
      <c r="E538" t="s">
        <v>94</v>
      </c>
      <c r="F538" t="s">
        <v>182</v>
      </c>
      <c r="G538" t="s">
        <v>183</v>
      </c>
      <c r="H538" t="s">
        <v>25</v>
      </c>
      <c r="I538" t="s">
        <v>26</v>
      </c>
      <c r="J538" t="s">
        <v>162</v>
      </c>
      <c r="K538" t="s">
        <v>163</v>
      </c>
      <c r="L538">
        <v>28205</v>
      </c>
      <c r="M538" t="s">
        <v>65</v>
      </c>
      <c r="N538" t="s">
        <v>113</v>
      </c>
      <c r="O538" t="s">
        <v>43</v>
      </c>
      <c r="P538" t="s">
        <v>114</v>
      </c>
      <c r="Q538" t="s">
        <v>115</v>
      </c>
      <c r="R538">
        <v>19.8</v>
      </c>
      <c r="S538">
        <v>2</v>
      </c>
      <c r="T538">
        <v>0.1</v>
      </c>
      <c r="U538">
        <v>3.92</v>
      </c>
    </row>
    <row r="539" spans="1:21" x14ac:dyDescent="0.35">
      <c r="A539">
        <v>538</v>
      </c>
      <c r="B539" t="s">
        <v>434</v>
      </c>
      <c r="C539" s="1">
        <v>45416</v>
      </c>
      <c r="D539" s="1">
        <v>45421</v>
      </c>
      <c r="E539" t="s">
        <v>22</v>
      </c>
      <c r="F539" t="s">
        <v>182</v>
      </c>
      <c r="G539" t="s">
        <v>183</v>
      </c>
      <c r="H539" t="s">
        <v>25</v>
      </c>
      <c r="I539" t="s">
        <v>26</v>
      </c>
      <c r="J539" t="s">
        <v>162</v>
      </c>
      <c r="K539" t="s">
        <v>163</v>
      </c>
      <c r="L539">
        <v>28205</v>
      </c>
      <c r="M539" t="s">
        <v>65</v>
      </c>
      <c r="N539" t="s">
        <v>30</v>
      </c>
      <c r="O539" t="s">
        <v>31</v>
      </c>
      <c r="P539" t="s">
        <v>32</v>
      </c>
      <c r="Q539" t="s">
        <v>33</v>
      </c>
      <c r="R539">
        <v>1610</v>
      </c>
      <c r="S539">
        <v>7</v>
      </c>
      <c r="T539">
        <v>0</v>
      </c>
      <c r="U539">
        <v>195.13</v>
      </c>
    </row>
    <row r="540" spans="1:21" x14ac:dyDescent="0.35">
      <c r="A540">
        <v>539</v>
      </c>
      <c r="B540" t="s">
        <v>435</v>
      </c>
      <c r="C540" s="1">
        <v>45369</v>
      </c>
      <c r="D540" s="1">
        <v>45373</v>
      </c>
      <c r="E540" t="s">
        <v>35</v>
      </c>
      <c r="F540" t="s">
        <v>210</v>
      </c>
      <c r="G540" t="s">
        <v>211</v>
      </c>
      <c r="H540" t="s">
        <v>25</v>
      </c>
      <c r="I540" t="s">
        <v>26</v>
      </c>
      <c r="J540" t="s">
        <v>39</v>
      </c>
      <c r="K540" t="s">
        <v>40</v>
      </c>
      <c r="L540">
        <v>53711</v>
      </c>
      <c r="M540" t="s">
        <v>41</v>
      </c>
      <c r="N540" t="s">
        <v>109</v>
      </c>
      <c r="O540" t="s">
        <v>31</v>
      </c>
      <c r="P540" t="s">
        <v>110</v>
      </c>
      <c r="Q540" t="s">
        <v>111</v>
      </c>
      <c r="R540">
        <v>125</v>
      </c>
      <c r="S540">
        <v>5</v>
      </c>
      <c r="T540">
        <v>0</v>
      </c>
      <c r="U540">
        <v>36.97</v>
      </c>
    </row>
    <row r="541" spans="1:21" x14ac:dyDescent="0.35">
      <c r="A541">
        <v>540</v>
      </c>
      <c r="B541" t="s">
        <v>435</v>
      </c>
      <c r="C541" s="1">
        <v>45369</v>
      </c>
      <c r="D541" s="1">
        <v>45373</v>
      </c>
      <c r="E541" t="s">
        <v>94</v>
      </c>
      <c r="F541" t="s">
        <v>210</v>
      </c>
      <c r="G541" t="s">
        <v>211</v>
      </c>
      <c r="H541" t="s">
        <v>25</v>
      </c>
      <c r="I541" t="s">
        <v>26</v>
      </c>
      <c r="J541" t="s">
        <v>39</v>
      </c>
      <c r="K541" t="s">
        <v>40</v>
      </c>
      <c r="L541">
        <v>53711</v>
      </c>
      <c r="M541" t="s">
        <v>41</v>
      </c>
      <c r="N541" t="s">
        <v>46</v>
      </c>
      <c r="O541" t="s">
        <v>47</v>
      </c>
      <c r="P541" t="s">
        <v>48</v>
      </c>
      <c r="Q541" t="s">
        <v>49</v>
      </c>
      <c r="R541">
        <v>144</v>
      </c>
      <c r="S541">
        <v>5</v>
      </c>
      <c r="T541">
        <v>0.1</v>
      </c>
      <c r="U541">
        <v>24.1</v>
      </c>
    </row>
    <row r="542" spans="1:21" x14ac:dyDescent="0.35">
      <c r="A542">
        <v>541</v>
      </c>
      <c r="B542" t="s">
        <v>436</v>
      </c>
      <c r="C542" s="1">
        <v>45587</v>
      </c>
      <c r="D542" s="1">
        <v>45591</v>
      </c>
      <c r="E542" t="s">
        <v>50</v>
      </c>
      <c r="F542" t="s">
        <v>195</v>
      </c>
      <c r="G542" t="s">
        <v>196</v>
      </c>
      <c r="H542" t="s">
        <v>62</v>
      </c>
      <c r="I542" t="s">
        <v>26</v>
      </c>
      <c r="J542" t="s">
        <v>150</v>
      </c>
      <c r="K542" t="s">
        <v>151</v>
      </c>
      <c r="L542">
        <v>33311</v>
      </c>
      <c r="M542" t="s">
        <v>65</v>
      </c>
      <c r="N542" t="s">
        <v>97</v>
      </c>
      <c r="O542" t="s">
        <v>31</v>
      </c>
      <c r="P542" t="s">
        <v>98</v>
      </c>
      <c r="Q542" t="s">
        <v>99</v>
      </c>
      <c r="R542">
        <v>624</v>
      </c>
      <c r="S542">
        <v>3</v>
      </c>
      <c r="T542">
        <v>0.2</v>
      </c>
      <c r="U542">
        <v>-13.78</v>
      </c>
    </row>
    <row r="543" spans="1:21" x14ac:dyDescent="0.35">
      <c r="A543">
        <v>542</v>
      </c>
      <c r="B543" t="s">
        <v>437</v>
      </c>
      <c r="C543" s="1">
        <v>45483</v>
      </c>
      <c r="D543" s="1">
        <v>45487</v>
      </c>
      <c r="E543" t="s">
        <v>22</v>
      </c>
      <c r="F543" t="s">
        <v>349</v>
      </c>
      <c r="G543" t="s">
        <v>82</v>
      </c>
      <c r="H543" t="s">
        <v>62</v>
      </c>
      <c r="I543" t="s">
        <v>26</v>
      </c>
      <c r="J543" t="s">
        <v>75</v>
      </c>
      <c r="K543" t="s">
        <v>76</v>
      </c>
      <c r="L543">
        <v>2110</v>
      </c>
      <c r="M543" t="s">
        <v>29</v>
      </c>
      <c r="N543" t="s">
        <v>121</v>
      </c>
      <c r="O543" t="s">
        <v>47</v>
      </c>
      <c r="P543" t="s">
        <v>122</v>
      </c>
      <c r="Q543" t="s">
        <v>123</v>
      </c>
      <c r="R543">
        <v>1080</v>
      </c>
      <c r="S543">
        <v>2</v>
      </c>
      <c r="T543">
        <v>0</v>
      </c>
      <c r="U543">
        <v>206.24</v>
      </c>
    </row>
    <row r="544" spans="1:21" x14ac:dyDescent="0.35">
      <c r="A544">
        <v>543</v>
      </c>
      <c r="B544" t="s">
        <v>437</v>
      </c>
      <c r="C544" s="1">
        <v>45483</v>
      </c>
      <c r="D544" s="1">
        <v>45487</v>
      </c>
      <c r="E544" t="s">
        <v>94</v>
      </c>
      <c r="F544" t="s">
        <v>349</v>
      </c>
      <c r="G544" t="s">
        <v>82</v>
      </c>
      <c r="H544" t="s">
        <v>62</v>
      </c>
      <c r="I544" t="s">
        <v>26</v>
      </c>
      <c r="J544" t="s">
        <v>75</v>
      </c>
      <c r="K544" t="s">
        <v>76</v>
      </c>
      <c r="L544">
        <v>2110</v>
      </c>
      <c r="M544" t="s">
        <v>29</v>
      </c>
      <c r="N544" t="s">
        <v>97</v>
      </c>
      <c r="O544" t="s">
        <v>31</v>
      </c>
      <c r="P544" t="s">
        <v>98</v>
      </c>
      <c r="Q544" t="s">
        <v>99</v>
      </c>
      <c r="R544">
        <v>832</v>
      </c>
      <c r="S544">
        <v>4</v>
      </c>
      <c r="T544">
        <v>0.2</v>
      </c>
      <c r="U544">
        <v>-15.18</v>
      </c>
    </row>
    <row r="545" spans="1:21" x14ac:dyDescent="0.35">
      <c r="A545">
        <v>544</v>
      </c>
      <c r="B545" t="s">
        <v>437</v>
      </c>
      <c r="C545" s="1">
        <v>45483</v>
      </c>
      <c r="D545" s="1">
        <v>45487</v>
      </c>
      <c r="E545" t="s">
        <v>35</v>
      </c>
      <c r="F545" t="s">
        <v>349</v>
      </c>
      <c r="G545" t="s">
        <v>82</v>
      </c>
      <c r="H545" t="s">
        <v>62</v>
      </c>
      <c r="I545" t="s">
        <v>26</v>
      </c>
      <c r="J545" t="s">
        <v>75</v>
      </c>
      <c r="K545" t="s">
        <v>76</v>
      </c>
      <c r="L545">
        <v>2110</v>
      </c>
      <c r="M545" t="s">
        <v>29</v>
      </c>
      <c r="N545" t="s">
        <v>51</v>
      </c>
      <c r="O545" t="s">
        <v>43</v>
      </c>
      <c r="P545" t="s">
        <v>52</v>
      </c>
      <c r="Q545" t="s">
        <v>53</v>
      </c>
      <c r="R545">
        <v>16</v>
      </c>
      <c r="S545">
        <v>2</v>
      </c>
      <c r="T545">
        <v>0</v>
      </c>
      <c r="U545">
        <v>5.38</v>
      </c>
    </row>
    <row r="546" spans="1:21" x14ac:dyDescent="0.35">
      <c r="A546">
        <v>545</v>
      </c>
      <c r="B546" t="s">
        <v>437</v>
      </c>
      <c r="C546" s="1">
        <v>45483</v>
      </c>
      <c r="D546" s="1">
        <v>45487</v>
      </c>
      <c r="E546" t="s">
        <v>94</v>
      </c>
      <c r="F546" t="s">
        <v>349</v>
      </c>
      <c r="G546" t="s">
        <v>82</v>
      </c>
      <c r="H546" t="s">
        <v>62</v>
      </c>
      <c r="I546" t="s">
        <v>26</v>
      </c>
      <c r="J546" t="s">
        <v>75</v>
      </c>
      <c r="K546" t="s">
        <v>76</v>
      </c>
      <c r="L546">
        <v>2110</v>
      </c>
      <c r="M546" t="s">
        <v>29</v>
      </c>
      <c r="N546" t="s">
        <v>106</v>
      </c>
      <c r="O546" t="s">
        <v>43</v>
      </c>
      <c r="P546" t="s">
        <v>107</v>
      </c>
      <c r="Q546" t="s">
        <v>108</v>
      </c>
      <c r="R546">
        <v>31.5</v>
      </c>
      <c r="S546">
        <v>7</v>
      </c>
      <c r="T546">
        <v>0.5</v>
      </c>
      <c r="U546">
        <v>-1.87</v>
      </c>
    </row>
    <row r="547" spans="1:21" x14ac:dyDescent="0.35">
      <c r="A547">
        <v>546</v>
      </c>
      <c r="B547" t="s">
        <v>438</v>
      </c>
      <c r="C547" s="1">
        <v>45891</v>
      </c>
      <c r="D547" s="1">
        <v>45894</v>
      </c>
      <c r="E547" t="s">
        <v>35</v>
      </c>
      <c r="F547" t="s">
        <v>439</v>
      </c>
      <c r="G547" t="s">
        <v>340</v>
      </c>
      <c r="H547" t="s">
        <v>25</v>
      </c>
      <c r="I547" t="s">
        <v>26</v>
      </c>
      <c r="J547" t="s">
        <v>63</v>
      </c>
      <c r="K547" t="s">
        <v>64</v>
      </c>
      <c r="L547">
        <v>37211</v>
      </c>
      <c r="M547" t="s">
        <v>65</v>
      </c>
      <c r="N547" t="s">
        <v>106</v>
      </c>
      <c r="O547" t="s">
        <v>43</v>
      </c>
      <c r="P547" t="s">
        <v>107</v>
      </c>
      <c r="Q547" t="s">
        <v>108</v>
      </c>
      <c r="R547">
        <v>13.5</v>
      </c>
      <c r="S547">
        <v>3</v>
      </c>
      <c r="T547">
        <v>0.5</v>
      </c>
      <c r="U547">
        <v>-1.03</v>
      </c>
    </row>
    <row r="548" spans="1:21" x14ac:dyDescent="0.35">
      <c r="A548">
        <v>547</v>
      </c>
      <c r="B548" t="s">
        <v>438</v>
      </c>
      <c r="C548" s="1">
        <v>45891</v>
      </c>
      <c r="D548" s="1">
        <v>45894</v>
      </c>
      <c r="E548" t="s">
        <v>22</v>
      </c>
      <c r="F548" t="s">
        <v>439</v>
      </c>
      <c r="G548" t="s">
        <v>340</v>
      </c>
      <c r="H548" t="s">
        <v>25</v>
      </c>
      <c r="I548" t="s">
        <v>26</v>
      </c>
      <c r="J548" t="s">
        <v>63</v>
      </c>
      <c r="K548" t="s">
        <v>64</v>
      </c>
      <c r="L548">
        <v>37211</v>
      </c>
      <c r="M548" t="s">
        <v>65</v>
      </c>
      <c r="N548" t="s">
        <v>95</v>
      </c>
      <c r="O548" t="s">
        <v>47</v>
      </c>
      <c r="P548" t="s">
        <v>48</v>
      </c>
      <c r="Q548" t="s">
        <v>96</v>
      </c>
      <c r="R548">
        <v>70.400000000000006</v>
      </c>
      <c r="S548">
        <v>4</v>
      </c>
      <c r="T548">
        <v>0.2</v>
      </c>
      <c r="U548">
        <v>10.77</v>
      </c>
    </row>
    <row r="549" spans="1:21" x14ac:dyDescent="0.35">
      <c r="A549">
        <v>548</v>
      </c>
      <c r="B549" t="s">
        <v>440</v>
      </c>
      <c r="C549" s="1">
        <v>45298</v>
      </c>
      <c r="D549" s="1">
        <v>45304</v>
      </c>
      <c r="E549" t="s">
        <v>35</v>
      </c>
      <c r="F549" t="s">
        <v>361</v>
      </c>
      <c r="G549" t="s">
        <v>362</v>
      </c>
      <c r="H549" t="s">
        <v>38</v>
      </c>
      <c r="I549" t="s">
        <v>26</v>
      </c>
      <c r="J549" t="s">
        <v>162</v>
      </c>
      <c r="K549" t="s">
        <v>163</v>
      </c>
      <c r="L549">
        <v>28205</v>
      </c>
      <c r="M549" t="s">
        <v>65</v>
      </c>
      <c r="N549" t="s">
        <v>69</v>
      </c>
      <c r="O549" t="s">
        <v>43</v>
      </c>
      <c r="P549" t="s">
        <v>70</v>
      </c>
      <c r="Q549" t="s">
        <v>71</v>
      </c>
      <c r="R549">
        <v>225</v>
      </c>
      <c r="S549">
        <v>5</v>
      </c>
      <c r="T549">
        <v>0</v>
      </c>
      <c r="U549">
        <v>32.340000000000003</v>
      </c>
    </row>
    <row r="550" spans="1:21" x14ac:dyDescent="0.35">
      <c r="A550">
        <v>549</v>
      </c>
      <c r="B550" t="s">
        <v>440</v>
      </c>
      <c r="C550" s="1">
        <v>45298</v>
      </c>
      <c r="D550" s="1">
        <v>45304</v>
      </c>
      <c r="E550" t="s">
        <v>94</v>
      </c>
      <c r="F550" t="s">
        <v>361</v>
      </c>
      <c r="G550" t="s">
        <v>362</v>
      </c>
      <c r="H550" t="s">
        <v>38</v>
      </c>
      <c r="I550" t="s">
        <v>26</v>
      </c>
      <c r="J550" t="s">
        <v>162</v>
      </c>
      <c r="K550" t="s">
        <v>163</v>
      </c>
      <c r="L550">
        <v>28205</v>
      </c>
      <c r="M550" t="s">
        <v>65</v>
      </c>
      <c r="N550" t="s">
        <v>46</v>
      </c>
      <c r="O550" t="s">
        <v>47</v>
      </c>
      <c r="P550" t="s">
        <v>48</v>
      </c>
      <c r="Q550" t="s">
        <v>49</v>
      </c>
      <c r="R550">
        <v>28.8</v>
      </c>
      <c r="S550">
        <v>1</v>
      </c>
      <c r="T550">
        <v>0.1</v>
      </c>
      <c r="U550">
        <v>4.01</v>
      </c>
    </row>
    <row r="551" spans="1:21" x14ac:dyDescent="0.35">
      <c r="A551">
        <v>550</v>
      </c>
      <c r="B551" t="s">
        <v>441</v>
      </c>
      <c r="C551" s="1">
        <v>45318</v>
      </c>
      <c r="D551" s="1">
        <v>45322</v>
      </c>
      <c r="E551" t="s">
        <v>50</v>
      </c>
      <c r="F551" t="s">
        <v>261</v>
      </c>
      <c r="G551" t="s">
        <v>262</v>
      </c>
      <c r="H551" t="s">
        <v>38</v>
      </c>
      <c r="I551" t="s">
        <v>26</v>
      </c>
      <c r="J551" t="s">
        <v>263</v>
      </c>
      <c r="K551" t="s">
        <v>264</v>
      </c>
      <c r="L551">
        <v>60610</v>
      </c>
      <c r="M551" t="s">
        <v>41</v>
      </c>
      <c r="N551" t="s">
        <v>121</v>
      </c>
      <c r="O551" t="s">
        <v>47</v>
      </c>
      <c r="P551" t="s">
        <v>122</v>
      </c>
      <c r="Q551" t="s">
        <v>123</v>
      </c>
      <c r="R551">
        <v>864</v>
      </c>
      <c r="S551">
        <v>2</v>
      </c>
      <c r="T551">
        <v>0.2</v>
      </c>
      <c r="U551">
        <v>62.27</v>
      </c>
    </row>
    <row r="552" spans="1:21" x14ac:dyDescent="0.35">
      <c r="A552">
        <v>551</v>
      </c>
      <c r="B552" t="s">
        <v>441</v>
      </c>
      <c r="C552" s="1">
        <v>45318</v>
      </c>
      <c r="D552" s="1">
        <v>45322</v>
      </c>
      <c r="E552" t="s">
        <v>35</v>
      </c>
      <c r="F552" t="s">
        <v>261</v>
      </c>
      <c r="G552" t="s">
        <v>262</v>
      </c>
      <c r="H552" t="s">
        <v>38</v>
      </c>
      <c r="I552" t="s">
        <v>26</v>
      </c>
      <c r="J552" t="s">
        <v>263</v>
      </c>
      <c r="K552" t="s">
        <v>264</v>
      </c>
      <c r="L552">
        <v>60610</v>
      </c>
      <c r="M552" t="s">
        <v>41</v>
      </c>
      <c r="N552" t="s">
        <v>46</v>
      </c>
      <c r="O552" t="s">
        <v>47</v>
      </c>
      <c r="P552" t="s">
        <v>48</v>
      </c>
      <c r="Q552" t="s">
        <v>49</v>
      </c>
      <c r="R552">
        <v>224</v>
      </c>
      <c r="S552">
        <v>7</v>
      </c>
      <c r="T552">
        <v>0</v>
      </c>
      <c r="U552">
        <v>48.69</v>
      </c>
    </row>
    <row r="553" spans="1:21" x14ac:dyDescent="0.35">
      <c r="A553">
        <v>552</v>
      </c>
      <c r="B553" t="s">
        <v>441</v>
      </c>
      <c r="C553" s="1">
        <v>45318</v>
      </c>
      <c r="D553" s="1">
        <v>45322</v>
      </c>
      <c r="E553" t="s">
        <v>94</v>
      </c>
      <c r="F553" t="s">
        <v>261</v>
      </c>
      <c r="G553" t="s">
        <v>262</v>
      </c>
      <c r="H553" t="s">
        <v>38</v>
      </c>
      <c r="I553" t="s">
        <v>26</v>
      </c>
      <c r="J553" t="s">
        <v>263</v>
      </c>
      <c r="K553" t="s">
        <v>264</v>
      </c>
      <c r="L553">
        <v>60610</v>
      </c>
      <c r="M553" t="s">
        <v>41</v>
      </c>
      <c r="N553" t="s">
        <v>77</v>
      </c>
      <c r="O553" t="s">
        <v>31</v>
      </c>
      <c r="P553" t="s">
        <v>78</v>
      </c>
      <c r="Q553" t="s">
        <v>79</v>
      </c>
      <c r="R553">
        <v>1470</v>
      </c>
      <c r="S553">
        <v>5</v>
      </c>
      <c r="T553">
        <v>0.3</v>
      </c>
      <c r="U553">
        <v>-339.06</v>
      </c>
    </row>
    <row r="554" spans="1:21" x14ac:dyDescent="0.35">
      <c r="A554">
        <v>553</v>
      </c>
      <c r="B554" t="s">
        <v>441</v>
      </c>
      <c r="C554" s="1">
        <v>45318</v>
      </c>
      <c r="D554" s="1">
        <v>45322</v>
      </c>
      <c r="E554" t="s">
        <v>35</v>
      </c>
      <c r="F554" t="s">
        <v>261</v>
      </c>
      <c r="G554" t="s">
        <v>262</v>
      </c>
      <c r="H554" t="s">
        <v>38</v>
      </c>
      <c r="I554" t="s">
        <v>26</v>
      </c>
      <c r="J554" t="s">
        <v>263</v>
      </c>
      <c r="K554" t="s">
        <v>264</v>
      </c>
      <c r="L554">
        <v>60610</v>
      </c>
      <c r="M554" t="s">
        <v>41</v>
      </c>
      <c r="N554" t="s">
        <v>66</v>
      </c>
      <c r="O554" t="s">
        <v>47</v>
      </c>
      <c r="P554" t="s">
        <v>67</v>
      </c>
      <c r="Q554" t="s">
        <v>68</v>
      </c>
      <c r="R554">
        <v>660</v>
      </c>
      <c r="S554">
        <v>2</v>
      </c>
      <c r="T554">
        <v>0</v>
      </c>
      <c r="U554">
        <v>111.26</v>
      </c>
    </row>
    <row r="555" spans="1:21" x14ac:dyDescent="0.35">
      <c r="A555">
        <v>554</v>
      </c>
      <c r="B555" t="s">
        <v>442</v>
      </c>
      <c r="C555" s="1">
        <v>45604</v>
      </c>
      <c r="D555" s="1">
        <v>45605</v>
      </c>
      <c r="E555" t="s">
        <v>22</v>
      </c>
      <c r="F555" t="s">
        <v>195</v>
      </c>
      <c r="G555" t="s">
        <v>196</v>
      </c>
      <c r="H555" t="s">
        <v>62</v>
      </c>
      <c r="I555" t="s">
        <v>26</v>
      </c>
      <c r="J555" t="s">
        <v>150</v>
      </c>
      <c r="K555" t="s">
        <v>151</v>
      </c>
      <c r="L555">
        <v>33311</v>
      </c>
      <c r="M555" t="s">
        <v>65</v>
      </c>
      <c r="N555" t="s">
        <v>109</v>
      </c>
      <c r="O555" t="s">
        <v>31</v>
      </c>
      <c r="P555" t="s">
        <v>110</v>
      </c>
      <c r="Q555" t="s">
        <v>111</v>
      </c>
      <c r="R555">
        <v>150</v>
      </c>
      <c r="S555">
        <v>6</v>
      </c>
      <c r="T555">
        <v>0</v>
      </c>
      <c r="U555">
        <v>40.25</v>
      </c>
    </row>
    <row r="556" spans="1:21" x14ac:dyDescent="0.35">
      <c r="A556">
        <v>555</v>
      </c>
      <c r="B556" t="s">
        <v>442</v>
      </c>
      <c r="C556" s="1">
        <v>45604</v>
      </c>
      <c r="D556" s="1">
        <v>45605</v>
      </c>
      <c r="E556" t="s">
        <v>35</v>
      </c>
      <c r="F556" t="s">
        <v>195</v>
      </c>
      <c r="G556" t="s">
        <v>196</v>
      </c>
      <c r="H556" t="s">
        <v>62</v>
      </c>
      <c r="I556" t="s">
        <v>26</v>
      </c>
      <c r="J556" t="s">
        <v>150</v>
      </c>
      <c r="K556" t="s">
        <v>151</v>
      </c>
      <c r="L556">
        <v>33311</v>
      </c>
      <c r="M556" t="s">
        <v>65</v>
      </c>
      <c r="N556" t="s">
        <v>66</v>
      </c>
      <c r="O556" t="s">
        <v>47</v>
      </c>
      <c r="P556" t="s">
        <v>67</v>
      </c>
      <c r="Q556" t="s">
        <v>68</v>
      </c>
      <c r="R556">
        <v>1848</v>
      </c>
      <c r="S556">
        <v>7</v>
      </c>
      <c r="T556">
        <v>0.2</v>
      </c>
      <c r="U556">
        <v>93.44</v>
      </c>
    </row>
    <row r="557" spans="1:21" x14ac:dyDescent="0.35">
      <c r="A557">
        <v>556</v>
      </c>
      <c r="B557" t="s">
        <v>442</v>
      </c>
      <c r="C557" s="1">
        <v>45604</v>
      </c>
      <c r="D557" s="1">
        <v>45605</v>
      </c>
      <c r="E557" t="s">
        <v>94</v>
      </c>
      <c r="F557" t="s">
        <v>195</v>
      </c>
      <c r="G557" t="s">
        <v>196</v>
      </c>
      <c r="H557" t="s">
        <v>62</v>
      </c>
      <c r="I557" t="s">
        <v>26</v>
      </c>
      <c r="J557" t="s">
        <v>150</v>
      </c>
      <c r="K557" t="s">
        <v>151</v>
      </c>
      <c r="L557">
        <v>33311</v>
      </c>
      <c r="M557" t="s">
        <v>65</v>
      </c>
      <c r="N557" t="s">
        <v>30</v>
      </c>
      <c r="O557" t="s">
        <v>31</v>
      </c>
      <c r="P557" t="s">
        <v>32</v>
      </c>
      <c r="Q557" t="s">
        <v>33</v>
      </c>
      <c r="R557">
        <v>368</v>
      </c>
      <c r="S557">
        <v>2</v>
      </c>
      <c r="T557">
        <v>0.2</v>
      </c>
      <c r="U557">
        <v>0.37</v>
      </c>
    </row>
    <row r="558" spans="1:21" x14ac:dyDescent="0.35">
      <c r="A558">
        <v>557</v>
      </c>
      <c r="B558" t="s">
        <v>442</v>
      </c>
      <c r="C558" s="1">
        <v>45604</v>
      </c>
      <c r="D558" s="1">
        <v>45605</v>
      </c>
      <c r="E558" t="s">
        <v>22</v>
      </c>
      <c r="F558" t="s">
        <v>195</v>
      </c>
      <c r="G558" t="s">
        <v>196</v>
      </c>
      <c r="H558" t="s">
        <v>62</v>
      </c>
      <c r="I558" t="s">
        <v>26</v>
      </c>
      <c r="J558" t="s">
        <v>150</v>
      </c>
      <c r="K558" t="s">
        <v>151</v>
      </c>
      <c r="L558">
        <v>33311</v>
      </c>
      <c r="M558" t="s">
        <v>65</v>
      </c>
      <c r="N558" t="s">
        <v>97</v>
      </c>
      <c r="O558" t="s">
        <v>31</v>
      </c>
      <c r="P558" t="s">
        <v>98</v>
      </c>
      <c r="Q558" t="s">
        <v>99</v>
      </c>
      <c r="R558">
        <v>520</v>
      </c>
      <c r="S558">
        <v>2</v>
      </c>
      <c r="T558">
        <v>0</v>
      </c>
      <c r="U558">
        <v>53.71</v>
      </c>
    </row>
    <row r="559" spans="1:21" x14ac:dyDescent="0.35">
      <c r="A559">
        <v>558</v>
      </c>
      <c r="B559" t="s">
        <v>443</v>
      </c>
      <c r="C559" s="1">
        <v>45407</v>
      </c>
      <c r="D559" s="1">
        <v>45411</v>
      </c>
      <c r="E559" t="s">
        <v>94</v>
      </c>
      <c r="F559" t="s">
        <v>305</v>
      </c>
      <c r="G559" t="s">
        <v>24</v>
      </c>
      <c r="H559" t="s">
        <v>62</v>
      </c>
      <c r="I559" t="s">
        <v>26</v>
      </c>
      <c r="J559" t="s">
        <v>27</v>
      </c>
      <c r="K559" t="s">
        <v>28</v>
      </c>
      <c r="M559" t="s">
        <v>29</v>
      </c>
      <c r="N559" t="s">
        <v>69</v>
      </c>
      <c r="O559" t="s">
        <v>43</v>
      </c>
      <c r="P559" t="s">
        <v>70</v>
      </c>
      <c r="Q559" t="s">
        <v>71</v>
      </c>
      <c r="R559">
        <v>270</v>
      </c>
      <c r="S559">
        <v>6</v>
      </c>
      <c r="T559">
        <v>0</v>
      </c>
      <c r="U559">
        <v>41.49</v>
      </c>
    </row>
    <row r="560" spans="1:21" x14ac:dyDescent="0.35">
      <c r="A560">
        <v>559</v>
      </c>
      <c r="B560" t="s">
        <v>444</v>
      </c>
      <c r="C560" s="1">
        <v>46206</v>
      </c>
      <c r="D560" s="1">
        <v>46210</v>
      </c>
      <c r="E560" t="s">
        <v>35</v>
      </c>
      <c r="F560" t="s">
        <v>142</v>
      </c>
      <c r="G560" t="s">
        <v>143</v>
      </c>
      <c r="H560" t="s">
        <v>62</v>
      </c>
      <c r="I560" t="s">
        <v>26</v>
      </c>
      <c r="J560" t="s">
        <v>83</v>
      </c>
      <c r="K560" t="s">
        <v>84</v>
      </c>
      <c r="L560">
        <v>98103</v>
      </c>
      <c r="M560" t="s">
        <v>85</v>
      </c>
      <c r="N560" t="s">
        <v>113</v>
      </c>
      <c r="O560" t="s">
        <v>43</v>
      </c>
      <c r="P560" t="s">
        <v>114</v>
      </c>
      <c r="Q560" t="s">
        <v>115</v>
      </c>
      <c r="R560">
        <v>5.5</v>
      </c>
      <c r="S560">
        <v>1</v>
      </c>
      <c r="T560">
        <v>0.5</v>
      </c>
      <c r="U560">
        <v>-1.68</v>
      </c>
    </row>
    <row r="561" spans="1:21" x14ac:dyDescent="0.35">
      <c r="A561">
        <v>560</v>
      </c>
      <c r="B561" t="s">
        <v>444</v>
      </c>
      <c r="C561" s="1">
        <v>46206</v>
      </c>
      <c r="D561" s="1">
        <v>46210</v>
      </c>
      <c r="E561" t="s">
        <v>50</v>
      </c>
      <c r="F561" t="s">
        <v>142</v>
      </c>
      <c r="G561" t="s">
        <v>143</v>
      </c>
      <c r="H561" t="s">
        <v>62</v>
      </c>
      <c r="I561" t="s">
        <v>26</v>
      </c>
      <c r="J561" t="s">
        <v>83</v>
      </c>
      <c r="K561" t="s">
        <v>84</v>
      </c>
      <c r="L561">
        <v>98103</v>
      </c>
      <c r="M561" t="s">
        <v>85</v>
      </c>
      <c r="N561" t="s">
        <v>125</v>
      </c>
      <c r="O561" t="s">
        <v>43</v>
      </c>
      <c r="P561" t="s">
        <v>126</v>
      </c>
      <c r="Q561" t="s">
        <v>127</v>
      </c>
      <c r="R561">
        <v>360</v>
      </c>
      <c r="S561">
        <v>3</v>
      </c>
      <c r="T561">
        <v>0</v>
      </c>
      <c r="U561">
        <v>66.540000000000006</v>
      </c>
    </row>
    <row r="562" spans="1:21" x14ac:dyDescent="0.35">
      <c r="A562">
        <v>561</v>
      </c>
      <c r="B562" t="s">
        <v>444</v>
      </c>
      <c r="C562" s="1">
        <v>46206</v>
      </c>
      <c r="D562" s="1">
        <v>46210</v>
      </c>
      <c r="E562" t="s">
        <v>22</v>
      </c>
      <c r="F562" t="s">
        <v>142</v>
      </c>
      <c r="G562" t="s">
        <v>143</v>
      </c>
      <c r="H562" t="s">
        <v>62</v>
      </c>
      <c r="I562" t="s">
        <v>26</v>
      </c>
      <c r="J562" t="s">
        <v>83</v>
      </c>
      <c r="K562" t="s">
        <v>84</v>
      </c>
      <c r="L562">
        <v>98103</v>
      </c>
      <c r="M562" t="s">
        <v>85</v>
      </c>
      <c r="N562" t="s">
        <v>109</v>
      </c>
      <c r="O562" t="s">
        <v>31</v>
      </c>
      <c r="P562" t="s">
        <v>110</v>
      </c>
      <c r="Q562" t="s">
        <v>111</v>
      </c>
      <c r="R562">
        <v>22.5</v>
      </c>
      <c r="S562">
        <v>1</v>
      </c>
      <c r="T562">
        <v>0.1</v>
      </c>
      <c r="U562">
        <v>4.2</v>
      </c>
    </row>
    <row r="563" spans="1:21" x14ac:dyDescent="0.35">
      <c r="A563">
        <v>562</v>
      </c>
      <c r="B563" t="s">
        <v>445</v>
      </c>
      <c r="C563" s="1">
        <v>45370</v>
      </c>
      <c r="D563" s="1">
        <v>45374</v>
      </c>
      <c r="E563" t="s">
        <v>35</v>
      </c>
      <c r="F563" t="s">
        <v>142</v>
      </c>
      <c r="G563" t="s">
        <v>143</v>
      </c>
      <c r="H563" t="s">
        <v>62</v>
      </c>
      <c r="I563" t="s">
        <v>26</v>
      </c>
      <c r="J563" t="s">
        <v>83</v>
      </c>
      <c r="K563" t="s">
        <v>84</v>
      </c>
      <c r="L563">
        <v>98103</v>
      </c>
      <c r="M563" t="s">
        <v>85</v>
      </c>
      <c r="N563" t="s">
        <v>77</v>
      </c>
      <c r="O563" t="s">
        <v>31</v>
      </c>
      <c r="P563" t="s">
        <v>78</v>
      </c>
      <c r="Q563" t="s">
        <v>79</v>
      </c>
      <c r="R563">
        <v>1890</v>
      </c>
      <c r="S563">
        <v>5</v>
      </c>
      <c r="T563">
        <v>0.1</v>
      </c>
      <c r="U563">
        <v>-209.32</v>
      </c>
    </row>
    <row r="564" spans="1:21" x14ac:dyDescent="0.35">
      <c r="A564">
        <v>563</v>
      </c>
      <c r="B564" t="s">
        <v>445</v>
      </c>
      <c r="C564" s="1">
        <v>45370</v>
      </c>
      <c r="D564" s="1">
        <v>45374</v>
      </c>
      <c r="E564" t="s">
        <v>35</v>
      </c>
      <c r="F564" t="s">
        <v>142</v>
      </c>
      <c r="G564" t="s">
        <v>143</v>
      </c>
      <c r="H564" t="s">
        <v>62</v>
      </c>
      <c r="I564" t="s">
        <v>26</v>
      </c>
      <c r="J564" t="s">
        <v>83</v>
      </c>
      <c r="K564" t="s">
        <v>84</v>
      </c>
      <c r="L564">
        <v>98103</v>
      </c>
      <c r="M564" t="s">
        <v>85</v>
      </c>
      <c r="N564" t="s">
        <v>125</v>
      </c>
      <c r="O564" t="s">
        <v>43</v>
      </c>
      <c r="P564" t="s">
        <v>126</v>
      </c>
      <c r="Q564" t="s">
        <v>127</v>
      </c>
      <c r="R564">
        <v>240</v>
      </c>
      <c r="S564">
        <v>2</v>
      </c>
      <c r="T564">
        <v>0</v>
      </c>
      <c r="U564">
        <v>41.62</v>
      </c>
    </row>
    <row r="565" spans="1:21" x14ac:dyDescent="0.35">
      <c r="A565">
        <v>564</v>
      </c>
      <c r="B565" t="s">
        <v>446</v>
      </c>
      <c r="C565" s="1">
        <v>45377</v>
      </c>
      <c r="D565" s="1">
        <v>45379</v>
      </c>
      <c r="E565" t="s">
        <v>22</v>
      </c>
      <c r="F565" t="s">
        <v>87</v>
      </c>
      <c r="G565" t="s">
        <v>88</v>
      </c>
      <c r="H565" t="s">
        <v>62</v>
      </c>
      <c r="I565" t="s">
        <v>26</v>
      </c>
      <c r="J565" t="s">
        <v>89</v>
      </c>
      <c r="K565" t="s">
        <v>90</v>
      </c>
      <c r="L565">
        <v>90036</v>
      </c>
      <c r="M565" t="s">
        <v>85</v>
      </c>
      <c r="N565" t="s">
        <v>77</v>
      </c>
      <c r="O565" t="s">
        <v>31</v>
      </c>
      <c r="P565" t="s">
        <v>78</v>
      </c>
      <c r="Q565" t="s">
        <v>79</v>
      </c>
      <c r="R565">
        <v>2268</v>
      </c>
      <c r="S565">
        <v>6</v>
      </c>
      <c r="T565">
        <v>0.1</v>
      </c>
      <c r="U565">
        <v>-250.81</v>
      </c>
    </row>
    <row r="566" spans="1:21" x14ac:dyDescent="0.35">
      <c r="A566">
        <v>565</v>
      </c>
      <c r="B566" t="s">
        <v>446</v>
      </c>
      <c r="C566" s="1">
        <v>45377</v>
      </c>
      <c r="D566" s="1">
        <v>45379</v>
      </c>
      <c r="E566" t="s">
        <v>50</v>
      </c>
      <c r="F566" t="s">
        <v>87</v>
      </c>
      <c r="G566" t="s">
        <v>88</v>
      </c>
      <c r="H566" t="s">
        <v>62</v>
      </c>
      <c r="I566" t="s">
        <v>26</v>
      </c>
      <c r="J566" t="s">
        <v>89</v>
      </c>
      <c r="K566" t="s">
        <v>90</v>
      </c>
      <c r="L566">
        <v>90036</v>
      </c>
      <c r="M566" t="s">
        <v>85</v>
      </c>
      <c r="N566" t="s">
        <v>103</v>
      </c>
      <c r="O566" t="s">
        <v>47</v>
      </c>
      <c r="P566" t="s">
        <v>104</v>
      </c>
      <c r="Q566" t="s">
        <v>105</v>
      </c>
      <c r="R566">
        <v>890</v>
      </c>
      <c r="S566">
        <v>1</v>
      </c>
      <c r="T566">
        <v>0</v>
      </c>
      <c r="U566">
        <v>176.31</v>
      </c>
    </row>
    <row r="567" spans="1:21" x14ac:dyDescent="0.35">
      <c r="A567">
        <v>566</v>
      </c>
      <c r="B567" t="s">
        <v>446</v>
      </c>
      <c r="C567" s="1">
        <v>45377</v>
      </c>
      <c r="D567" s="1">
        <v>45379</v>
      </c>
      <c r="E567" t="s">
        <v>22</v>
      </c>
      <c r="F567" t="s">
        <v>87</v>
      </c>
      <c r="G567" t="s">
        <v>88</v>
      </c>
      <c r="H567" t="s">
        <v>62</v>
      </c>
      <c r="I567" t="s">
        <v>26</v>
      </c>
      <c r="J567" t="s">
        <v>89</v>
      </c>
      <c r="K567" t="s">
        <v>90</v>
      </c>
      <c r="L567">
        <v>90036</v>
      </c>
      <c r="M567" t="s">
        <v>85</v>
      </c>
      <c r="N567" t="s">
        <v>95</v>
      </c>
      <c r="O567" t="s">
        <v>47</v>
      </c>
      <c r="P567" t="s">
        <v>48</v>
      </c>
      <c r="Q567" t="s">
        <v>96</v>
      </c>
      <c r="R567">
        <v>17.600000000000001</v>
      </c>
      <c r="S567">
        <v>1</v>
      </c>
      <c r="T567">
        <v>0.2</v>
      </c>
      <c r="U567">
        <v>2.0299999999999998</v>
      </c>
    </row>
    <row r="568" spans="1:21" x14ac:dyDescent="0.35">
      <c r="A568">
        <v>567</v>
      </c>
      <c r="B568" t="s">
        <v>446</v>
      </c>
      <c r="C568" s="1">
        <v>45377</v>
      </c>
      <c r="D568" s="1">
        <v>45379</v>
      </c>
      <c r="E568" t="s">
        <v>35</v>
      </c>
      <c r="F568" t="s">
        <v>87</v>
      </c>
      <c r="G568" t="s">
        <v>88</v>
      </c>
      <c r="H568" t="s">
        <v>62</v>
      </c>
      <c r="I568" t="s">
        <v>26</v>
      </c>
      <c r="J568" t="s">
        <v>89</v>
      </c>
      <c r="K568" t="s">
        <v>90</v>
      </c>
      <c r="L568">
        <v>90036</v>
      </c>
      <c r="M568" t="s">
        <v>85</v>
      </c>
      <c r="N568" t="s">
        <v>51</v>
      </c>
      <c r="O568" t="s">
        <v>43</v>
      </c>
      <c r="P568" t="s">
        <v>52</v>
      </c>
      <c r="Q568" t="s">
        <v>53</v>
      </c>
      <c r="R568">
        <v>8</v>
      </c>
      <c r="S568">
        <v>1</v>
      </c>
      <c r="T568">
        <v>0</v>
      </c>
      <c r="U568">
        <v>1.43</v>
      </c>
    </row>
    <row r="569" spans="1:21" x14ac:dyDescent="0.35">
      <c r="A569">
        <v>568</v>
      </c>
      <c r="B569" t="s">
        <v>447</v>
      </c>
      <c r="C569" s="1">
        <v>45376</v>
      </c>
      <c r="D569" s="1">
        <v>45378</v>
      </c>
      <c r="E569" t="s">
        <v>35</v>
      </c>
      <c r="F569" t="s">
        <v>373</v>
      </c>
      <c r="G569" t="s">
        <v>374</v>
      </c>
      <c r="H569" t="s">
        <v>38</v>
      </c>
      <c r="I569" t="s">
        <v>26</v>
      </c>
      <c r="J569" t="s">
        <v>63</v>
      </c>
      <c r="K569" t="s">
        <v>64</v>
      </c>
      <c r="L569">
        <v>37211</v>
      </c>
      <c r="M569" t="s">
        <v>65</v>
      </c>
      <c r="N569" t="s">
        <v>30</v>
      </c>
      <c r="O569" t="s">
        <v>31</v>
      </c>
      <c r="P569" t="s">
        <v>32</v>
      </c>
      <c r="Q569" t="s">
        <v>33</v>
      </c>
      <c r="R569">
        <v>368</v>
      </c>
      <c r="S569">
        <v>2</v>
      </c>
      <c r="T569">
        <v>0.2</v>
      </c>
      <c r="U569">
        <v>1.74</v>
      </c>
    </row>
    <row r="570" spans="1:21" x14ac:dyDescent="0.35">
      <c r="A570">
        <v>569</v>
      </c>
      <c r="B570" t="s">
        <v>447</v>
      </c>
      <c r="C570" s="1">
        <v>45376</v>
      </c>
      <c r="D570" s="1">
        <v>45378</v>
      </c>
      <c r="E570" t="s">
        <v>94</v>
      </c>
      <c r="F570" t="s">
        <v>373</v>
      </c>
      <c r="G570" t="s">
        <v>374</v>
      </c>
      <c r="H570" t="s">
        <v>38</v>
      </c>
      <c r="I570" t="s">
        <v>26</v>
      </c>
      <c r="J570" t="s">
        <v>63</v>
      </c>
      <c r="K570" t="s">
        <v>64</v>
      </c>
      <c r="L570">
        <v>37211</v>
      </c>
      <c r="M570" t="s">
        <v>65</v>
      </c>
      <c r="N570" t="s">
        <v>125</v>
      </c>
      <c r="O570" t="s">
        <v>43</v>
      </c>
      <c r="P570" t="s">
        <v>126</v>
      </c>
      <c r="Q570" t="s">
        <v>127</v>
      </c>
      <c r="R570">
        <v>720</v>
      </c>
      <c r="S570">
        <v>6</v>
      </c>
      <c r="T570">
        <v>0</v>
      </c>
      <c r="U570">
        <v>129.43</v>
      </c>
    </row>
    <row r="571" spans="1:21" x14ac:dyDescent="0.35">
      <c r="A571">
        <v>570</v>
      </c>
      <c r="B571" t="s">
        <v>448</v>
      </c>
      <c r="C571" s="1">
        <v>46121</v>
      </c>
      <c r="D571" s="1">
        <v>46122</v>
      </c>
      <c r="E571" t="s">
        <v>22</v>
      </c>
      <c r="F571" t="s">
        <v>81</v>
      </c>
      <c r="G571" t="s">
        <v>82</v>
      </c>
      <c r="H571" t="s">
        <v>25</v>
      </c>
      <c r="I571" t="s">
        <v>26</v>
      </c>
      <c r="J571" t="s">
        <v>83</v>
      </c>
      <c r="K571" t="s">
        <v>84</v>
      </c>
      <c r="L571">
        <v>98103</v>
      </c>
      <c r="M571" t="s">
        <v>85</v>
      </c>
      <c r="N571" t="s">
        <v>51</v>
      </c>
      <c r="O571" t="s">
        <v>43</v>
      </c>
      <c r="P571" t="s">
        <v>52</v>
      </c>
      <c r="Q571" t="s">
        <v>53</v>
      </c>
      <c r="R571">
        <v>39.200000000000003</v>
      </c>
      <c r="S571">
        <v>7</v>
      </c>
      <c r="T571">
        <v>0.3</v>
      </c>
      <c r="U571">
        <v>3.27</v>
      </c>
    </row>
    <row r="572" spans="1:21" x14ac:dyDescent="0.35">
      <c r="A572">
        <v>571</v>
      </c>
      <c r="B572" t="s">
        <v>449</v>
      </c>
      <c r="C572" s="1">
        <v>46061</v>
      </c>
      <c r="D572" s="1">
        <v>46067</v>
      </c>
      <c r="E572" t="s">
        <v>22</v>
      </c>
      <c r="F572" t="s">
        <v>157</v>
      </c>
      <c r="G572" t="s">
        <v>158</v>
      </c>
      <c r="H572" t="s">
        <v>62</v>
      </c>
      <c r="I572" t="s">
        <v>26</v>
      </c>
      <c r="J572" t="s">
        <v>89</v>
      </c>
      <c r="K572" t="s">
        <v>90</v>
      </c>
      <c r="L572">
        <v>90036</v>
      </c>
      <c r="M572" t="s">
        <v>85</v>
      </c>
      <c r="N572" t="s">
        <v>42</v>
      </c>
      <c r="O572" t="s">
        <v>43</v>
      </c>
      <c r="P572" t="s">
        <v>44</v>
      </c>
      <c r="Q572" t="s">
        <v>45</v>
      </c>
      <c r="R572">
        <v>56</v>
      </c>
      <c r="S572">
        <v>4</v>
      </c>
      <c r="T572">
        <v>0</v>
      </c>
      <c r="U572">
        <v>23.19</v>
      </c>
    </row>
    <row r="573" spans="1:21" x14ac:dyDescent="0.35">
      <c r="A573">
        <v>572</v>
      </c>
      <c r="B573" t="s">
        <v>450</v>
      </c>
      <c r="C573" s="1">
        <v>45636</v>
      </c>
      <c r="D573" s="1">
        <v>45641</v>
      </c>
      <c r="E573" t="s">
        <v>50</v>
      </c>
      <c r="F573" t="s">
        <v>157</v>
      </c>
      <c r="G573" t="s">
        <v>158</v>
      </c>
      <c r="H573" t="s">
        <v>62</v>
      </c>
      <c r="I573" t="s">
        <v>26</v>
      </c>
      <c r="J573" t="s">
        <v>89</v>
      </c>
      <c r="K573" t="s">
        <v>90</v>
      </c>
      <c r="L573">
        <v>90036</v>
      </c>
      <c r="M573" t="s">
        <v>85</v>
      </c>
      <c r="N573" t="s">
        <v>103</v>
      </c>
      <c r="O573" t="s">
        <v>47</v>
      </c>
      <c r="P573" t="s">
        <v>104</v>
      </c>
      <c r="Q573" t="s">
        <v>105</v>
      </c>
      <c r="R573">
        <v>2136</v>
      </c>
      <c r="S573">
        <v>3</v>
      </c>
      <c r="T573">
        <v>0.2</v>
      </c>
      <c r="U573">
        <v>169.16</v>
      </c>
    </row>
    <row r="574" spans="1:21" x14ac:dyDescent="0.35">
      <c r="A574">
        <v>573</v>
      </c>
      <c r="B574" t="s">
        <v>450</v>
      </c>
      <c r="C574" s="1">
        <v>45636</v>
      </c>
      <c r="D574" s="1">
        <v>45641</v>
      </c>
      <c r="E574" t="s">
        <v>35</v>
      </c>
      <c r="F574" t="s">
        <v>157</v>
      </c>
      <c r="G574" t="s">
        <v>158</v>
      </c>
      <c r="H574" t="s">
        <v>62</v>
      </c>
      <c r="I574" t="s">
        <v>26</v>
      </c>
      <c r="J574" t="s">
        <v>89</v>
      </c>
      <c r="K574" t="s">
        <v>90</v>
      </c>
      <c r="L574">
        <v>90036</v>
      </c>
      <c r="M574" t="s">
        <v>85</v>
      </c>
      <c r="N574" t="s">
        <v>77</v>
      </c>
      <c r="O574" t="s">
        <v>31</v>
      </c>
      <c r="P574" t="s">
        <v>78</v>
      </c>
      <c r="Q574" t="s">
        <v>79</v>
      </c>
      <c r="R574">
        <v>1134</v>
      </c>
      <c r="S574">
        <v>3</v>
      </c>
      <c r="T574">
        <v>0.1</v>
      </c>
      <c r="U574">
        <v>-124.68</v>
      </c>
    </row>
    <row r="575" spans="1:21" x14ac:dyDescent="0.35">
      <c r="A575">
        <v>574</v>
      </c>
      <c r="B575" t="s">
        <v>451</v>
      </c>
      <c r="C575" s="1">
        <v>45491</v>
      </c>
      <c r="D575" s="1">
        <v>45493</v>
      </c>
      <c r="E575" t="s">
        <v>94</v>
      </c>
      <c r="F575" t="s">
        <v>361</v>
      </c>
      <c r="G575" t="s">
        <v>362</v>
      </c>
      <c r="H575" t="s">
        <v>38</v>
      </c>
      <c r="I575" t="s">
        <v>26</v>
      </c>
      <c r="J575" t="s">
        <v>162</v>
      </c>
      <c r="K575" t="s">
        <v>163</v>
      </c>
      <c r="L575">
        <v>28205</v>
      </c>
      <c r="M575" t="s">
        <v>65</v>
      </c>
      <c r="N575" t="s">
        <v>113</v>
      </c>
      <c r="O575" t="s">
        <v>43</v>
      </c>
      <c r="P575" t="s">
        <v>114</v>
      </c>
      <c r="Q575" t="s">
        <v>115</v>
      </c>
      <c r="R575">
        <v>33</v>
      </c>
      <c r="S575">
        <v>3</v>
      </c>
      <c r="T575">
        <v>0</v>
      </c>
      <c r="U575">
        <v>10.050000000000001</v>
      </c>
    </row>
    <row r="576" spans="1:21" x14ac:dyDescent="0.35">
      <c r="A576">
        <v>575</v>
      </c>
      <c r="B576" t="s">
        <v>451</v>
      </c>
      <c r="C576" s="1">
        <v>45491</v>
      </c>
      <c r="D576" s="1">
        <v>45493</v>
      </c>
      <c r="E576" t="s">
        <v>35</v>
      </c>
      <c r="F576" t="s">
        <v>361</v>
      </c>
      <c r="G576" t="s">
        <v>362</v>
      </c>
      <c r="H576" t="s">
        <v>38</v>
      </c>
      <c r="I576" t="s">
        <v>26</v>
      </c>
      <c r="J576" t="s">
        <v>162</v>
      </c>
      <c r="K576" t="s">
        <v>163</v>
      </c>
      <c r="L576">
        <v>28205</v>
      </c>
      <c r="M576" t="s">
        <v>65</v>
      </c>
      <c r="N576" t="s">
        <v>103</v>
      </c>
      <c r="O576" t="s">
        <v>47</v>
      </c>
      <c r="P576" t="s">
        <v>104</v>
      </c>
      <c r="Q576" t="s">
        <v>105</v>
      </c>
      <c r="R576">
        <v>4984</v>
      </c>
      <c r="S576">
        <v>7</v>
      </c>
      <c r="T576">
        <v>0.2</v>
      </c>
      <c r="U576">
        <v>396.93</v>
      </c>
    </row>
    <row r="577" spans="1:21" x14ac:dyDescent="0.35">
      <c r="A577">
        <v>576</v>
      </c>
      <c r="B577" t="s">
        <v>451</v>
      </c>
      <c r="C577" s="1">
        <v>45491</v>
      </c>
      <c r="D577" s="1">
        <v>45493</v>
      </c>
      <c r="E577" t="s">
        <v>50</v>
      </c>
      <c r="F577" t="s">
        <v>361</v>
      </c>
      <c r="G577" t="s">
        <v>362</v>
      </c>
      <c r="H577" t="s">
        <v>38</v>
      </c>
      <c r="I577" t="s">
        <v>26</v>
      </c>
      <c r="J577" t="s">
        <v>162</v>
      </c>
      <c r="K577" t="s">
        <v>163</v>
      </c>
      <c r="L577">
        <v>28205</v>
      </c>
      <c r="M577" t="s">
        <v>65</v>
      </c>
      <c r="N577" t="s">
        <v>97</v>
      </c>
      <c r="O577" t="s">
        <v>31</v>
      </c>
      <c r="P577" t="s">
        <v>98</v>
      </c>
      <c r="Q577" t="s">
        <v>99</v>
      </c>
      <c r="R577">
        <v>780</v>
      </c>
      <c r="S577">
        <v>3</v>
      </c>
      <c r="T577">
        <v>0</v>
      </c>
      <c r="U577">
        <v>79.62</v>
      </c>
    </row>
    <row r="578" spans="1:21" x14ac:dyDescent="0.35">
      <c r="A578">
        <v>577</v>
      </c>
      <c r="B578" t="s">
        <v>451</v>
      </c>
      <c r="C578" s="1">
        <v>45491</v>
      </c>
      <c r="D578" s="1">
        <v>45493</v>
      </c>
      <c r="E578" t="s">
        <v>22</v>
      </c>
      <c r="F578" t="s">
        <v>361</v>
      </c>
      <c r="G578" t="s">
        <v>362</v>
      </c>
      <c r="H578" t="s">
        <v>38</v>
      </c>
      <c r="I578" t="s">
        <v>26</v>
      </c>
      <c r="J578" t="s">
        <v>162</v>
      </c>
      <c r="K578" t="s">
        <v>163</v>
      </c>
      <c r="L578">
        <v>28205</v>
      </c>
      <c r="M578" t="s">
        <v>65</v>
      </c>
      <c r="N578" t="s">
        <v>30</v>
      </c>
      <c r="O578" t="s">
        <v>31</v>
      </c>
      <c r="P578" t="s">
        <v>32</v>
      </c>
      <c r="Q578" t="s">
        <v>33</v>
      </c>
      <c r="R578">
        <v>920</v>
      </c>
      <c r="S578">
        <v>4</v>
      </c>
      <c r="T578">
        <v>0</v>
      </c>
      <c r="U578">
        <v>110.02</v>
      </c>
    </row>
    <row r="579" spans="1:21" x14ac:dyDescent="0.35">
      <c r="A579">
        <v>578</v>
      </c>
      <c r="B579" t="s">
        <v>452</v>
      </c>
      <c r="C579" s="1">
        <v>45954</v>
      </c>
      <c r="D579" s="1">
        <v>45956</v>
      </c>
      <c r="E579" t="s">
        <v>50</v>
      </c>
      <c r="F579" t="s">
        <v>305</v>
      </c>
      <c r="G579" t="s">
        <v>24</v>
      </c>
      <c r="H579" t="s">
        <v>62</v>
      </c>
      <c r="I579" t="s">
        <v>26</v>
      </c>
      <c r="J579" t="s">
        <v>27</v>
      </c>
      <c r="K579" t="s">
        <v>28</v>
      </c>
      <c r="M579" t="s">
        <v>29</v>
      </c>
      <c r="N579" t="s">
        <v>97</v>
      </c>
      <c r="O579" t="s">
        <v>31</v>
      </c>
      <c r="P579" t="s">
        <v>98</v>
      </c>
      <c r="Q579" t="s">
        <v>99</v>
      </c>
      <c r="R579">
        <v>910</v>
      </c>
      <c r="S579">
        <v>5</v>
      </c>
      <c r="T579">
        <v>0.3</v>
      </c>
      <c r="U579">
        <v>-70.84</v>
      </c>
    </row>
    <row r="580" spans="1:21" x14ac:dyDescent="0.35">
      <c r="A580">
        <v>579</v>
      </c>
      <c r="B580" t="s">
        <v>453</v>
      </c>
      <c r="C580" s="1">
        <v>46292</v>
      </c>
      <c r="D580" s="1">
        <v>46295</v>
      </c>
      <c r="E580" t="s">
        <v>50</v>
      </c>
      <c r="F580" t="s">
        <v>405</v>
      </c>
      <c r="G580" t="s">
        <v>406</v>
      </c>
      <c r="H580" t="s">
        <v>25</v>
      </c>
      <c r="I580" t="s">
        <v>26</v>
      </c>
      <c r="J580" t="s">
        <v>131</v>
      </c>
      <c r="K580" t="s">
        <v>90</v>
      </c>
      <c r="L580">
        <v>94122</v>
      </c>
      <c r="M580" t="s">
        <v>85</v>
      </c>
      <c r="N580" t="s">
        <v>95</v>
      </c>
      <c r="O580" t="s">
        <v>47</v>
      </c>
      <c r="P580" t="s">
        <v>48</v>
      </c>
      <c r="Q580" t="s">
        <v>96</v>
      </c>
      <c r="R580">
        <v>88</v>
      </c>
      <c r="S580">
        <v>4</v>
      </c>
      <c r="T580">
        <v>0</v>
      </c>
      <c r="U580">
        <v>24.82</v>
      </c>
    </row>
    <row r="581" spans="1:21" x14ac:dyDescent="0.35">
      <c r="A581">
        <v>580</v>
      </c>
      <c r="B581" t="s">
        <v>453</v>
      </c>
      <c r="C581" s="1">
        <v>46292</v>
      </c>
      <c r="D581" s="1">
        <v>46295</v>
      </c>
      <c r="E581" t="s">
        <v>35</v>
      </c>
      <c r="F581" t="s">
        <v>405</v>
      </c>
      <c r="G581" t="s">
        <v>406</v>
      </c>
      <c r="H581" t="s">
        <v>25</v>
      </c>
      <c r="I581" t="s">
        <v>26</v>
      </c>
      <c r="J581" t="s">
        <v>131</v>
      </c>
      <c r="K581" t="s">
        <v>90</v>
      </c>
      <c r="L581">
        <v>94122</v>
      </c>
      <c r="M581" t="s">
        <v>85</v>
      </c>
      <c r="N581" t="s">
        <v>46</v>
      </c>
      <c r="O581" t="s">
        <v>47</v>
      </c>
      <c r="P581" t="s">
        <v>48</v>
      </c>
      <c r="Q581" t="s">
        <v>49</v>
      </c>
      <c r="R581">
        <v>25.6</v>
      </c>
      <c r="S581">
        <v>1</v>
      </c>
      <c r="T581">
        <v>0.2</v>
      </c>
      <c r="U581">
        <v>1.62</v>
      </c>
    </row>
    <row r="582" spans="1:21" x14ac:dyDescent="0.35">
      <c r="A582">
        <v>581</v>
      </c>
      <c r="B582" t="s">
        <v>453</v>
      </c>
      <c r="C582" s="1">
        <v>46292</v>
      </c>
      <c r="D582" s="1">
        <v>46295</v>
      </c>
      <c r="E582" t="s">
        <v>22</v>
      </c>
      <c r="F582" t="s">
        <v>405</v>
      </c>
      <c r="G582" t="s">
        <v>406</v>
      </c>
      <c r="H582" t="s">
        <v>25</v>
      </c>
      <c r="I582" t="s">
        <v>26</v>
      </c>
      <c r="J582" t="s">
        <v>131</v>
      </c>
      <c r="K582" t="s">
        <v>90</v>
      </c>
      <c r="L582">
        <v>94122</v>
      </c>
      <c r="M582" t="s">
        <v>85</v>
      </c>
      <c r="N582" t="s">
        <v>109</v>
      </c>
      <c r="O582" t="s">
        <v>31</v>
      </c>
      <c r="P582" t="s">
        <v>110</v>
      </c>
      <c r="Q582" t="s">
        <v>111</v>
      </c>
      <c r="R582">
        <v>100</v>
      </c>
      <c r="S582">
        <v>4</v>
      </c>
      <c r="T582">
        <v>0</v>
      </c>
      <c r="U582">
        <v>29.72</v>
      </c>
    </row>
    <row r="583" spans="1:21" x14ac:dyDescent="0.35">
      <c r="A583">
        <v>582</v>
      </c>
      <c r="B583" t="s">
        <v>453</v>
      </c>
      <c r="C583" s="1">
        <v>46292</v>
      </c>
      <c r="D583" s="1">
        <v>46295</v>
      </c>
      <c r="E583" t="s">
        <v>35</v>
      </c>
      <c r="F583" t="s">
        <v>405</v>
      </c>
      <c r="G583" t="s">
        <v>406</v>
      </c>
      <c r="H583" t="s">
        <v>25</v>
      </c>
      <c r="I583" t="s">
        <v>26</v>
      </c>
      <c r="J583" t="s">
        <v>131</v>
      </c>
      <c r="K583" t="s">
        <v>90</v>
      </c>
      <c r="L583">
        <v>94122</v>
      </c>
      <c r="M583" t="s">
        <v>85</v>
      </c>
      <c r="N583" t="s">
        <v>121</v>
      </c>
      <c r="O583" t="s">
        <v>47</v>
      </c>
      <c r="P583" t="s">
        <v>122</v>
      </c>
      <c r="Q583" t="s">
        <v>123</v>
      </c>
      <c r="R583">
        <v>3240</v>
      </c>
      <c r="S583">
        <v>6</v>
      </c>
      <c r="T583">
        <v>0</v>
      </c>
      <c r="U583">
        <v>617.39</v>
      </c>
    </row>
    <row r="584" spans="1:21" x14ac:dyDescent="0.35">
      <c r="A584">
        <v>583</v>
      </c>
      <c r="B584" t="s">
        <v>454</v>
      </c>
      <c r="C584" s="1">
        <v>45493</v>
      </c>
      <c r="D584" s="1">
        <v>45497</v>
      </c>
      <c r="E584" t="s">
        <v>94</v>
      </c>
      <c r="F584" t="s">
        <v>186</v>
      </c>
      <c r="G584" t="s">
        <v>187</v>
      </c>
      <c r="H584" t="s">
        <v>25</v>
      </c>
      <c r="I584" t="s">
        <v>26</v>
      </c>
      <c r="J584" t="s">
        <v>162</v>
      </c>
      <c r="K584" t="s">
        <v>163</v>
      </c>
      <c r="L584">
        <v>28205</v>
      </c>
      <c r="M584" t="s">
        <v>65</v>
      </c>
      <c r="N584" t="s">
        <v>125</v>
      </c>
      <c r="O584" t="s">
        <v>43</v>
      </c>
      <c r="P584" t="s">
        <v>126</v>
      </c>
      <c r="Q584" t="s">
        <v>127</v>
      </c>
      <c r="R584">
        <v>720</v>
      </c>
      <c r="S584">
        <v>6</v>
      </c>
      <c r="T584">
        <v>0</v>
      </c>
      <c r="U584">
        <v>130.44</v>
      </c>
    </row>
    <row r="585" spans="1:21" x14ac:dyDescent="0.35">
      <c r="A585">
        <v>584</v>
      </c>
      <c r="B585" t="s">
        <v>454</v>
      </c>
      <c r="C585" s="1">
        <v>45493</v>
      </c>
      <c r="D585" s="1">
        <v>45497</v>
      </c>
      <c r="E585" t="s">
        <v>50</v>
      </c>
      <c r="F585" t="s">
        <v>186</v>
      </c>
      <c r="G585" t="s">
        <v>187</v>
      </c>
      <c r="H585" t="s">
        <v>25</v>
      </c>
      <c r="I585" t="s">
        <v>26</v>
      </c>
      <c r="J585" t="s">
        <v>162</v>
      </c>
      <c r="K585" t="s">
        <v>163</v>
      </c>
      <c r="L585">
        <v>28205</v>
      </c>
      <c r="M585" t="s">
        <v>65</v>
      </c>
      <c r="N585" t="s">
        <v>103</v>
      </c>
      <c r="O585" t="s">
        <v>47</v>
      </c>
      <c r="P585" t="s">
        <v>104</v>
      </c>
      <c r="Q585" t="s">
        <v>105</v>
      </c>
      <c r="R585">
        <v>3115</v>
      </c>
      <c r="S585">
        <v>7</v>
      </c>
      <c r="T585">
        <v>0.5</v>
      </c>
      <c r="U585">
        <v>-311.82</v>
      </c>
    </row>
    <row r="586" spans="1:21" x14ac:dyDescent="0.35">
      <c r="A586">
        <v>585</v>
      </c>
      <c r="B586" t="s">
        <v>455</v>
      </c>
      <c r="C586" s="1">
        <v>45778</v>
      </c>
      <c r="D586" s="1">
        <v>45780</v>
      </c>
      <c r="E586" t="s">
        <v>35</v>
      </c>
      <c r="F586" t="s">
        <v>361</v>
      </c>
      <c r="G586" t="s">
        <v>362</v>
      </c>
      <c r="H586" t="s">
        <v>38</v>
      </c>
      <c r="I586" t="s">
        <v>26</v>
      </c>
      <c r="J586" t="s">
        <v>162</v>
      </c>
      <c r="K586" t="s">
        <v>163</v>
      </c>
      <c r="L586">
        <v>28205</v>
      </c>
      <c r="M586" t="s">
        <v>65</v>
      </c>
      <c r="N586" t="s">
        <v>97</v>
      </c>
      <c r="O586" t="s">
        <v>31</v>
      </c>
      <c r="P586" t="s">
        <v>98</v>
      </c>
      <c r="Q586" t="s">
        <v>99</v>
      </c>
      <c r="R586">
        <v>1300</v>
      </c>
      <c r="S586">
        <v>5</v>
      </c>
      <c r="T586">
        <v>0</v>
      </c>
      <c r="U586">
        <v>131.84</v>
      </c>
    </row>
    <row r="587" spans="1:21" x14ac:dyDescent="0.35">
      <c r="A587">
        <v>586</v>
      </c>
      <c r="B587" t="s">
        <v>455</v>
      </c>
      <c r="C587" s="1">
        <v>45778</v>
      </c>
      <c r="D587" s="1">
        <v>45780</v>
      </c>
      <c r="E587" t="s">
        <v>35</v>
      </c>
      <c r="F587" t="s">
        <v>361</v>
      </c>
      <c r="G587" t="s">
        <v>362</v>
      </c>
      <c r="H587" t="s">
        <v>38</v>
      </c>
      <c r="I587" t="s">
        <v>26</v>
      </c>
      <c r="J587" t="s">
        <v>162</v>
      </c>
      <c r="K587" t="s">
        <v>163</v>
      </c>
      <c r="L587">
        <v>28205</v>
      </c>
      <c r="M587" t="s">
        <v>65</v>
      </c>
      <c r="N587" t="s">
        <v>113</v>
      </c>
      <c r="O587" t="s">
        <v>43</v>
      </c>
      <c r="P587" t="s">
        <v>114</v>
      </c>
      <c r="Q587" t="s">
        <v>115</v>
      </c>
      <c r="R587">
        <v>49.5</v>
      </c>
      <c r="S587">
        <v>5</v>
      </c>
      <c r="T587">
        <v>0.1</v>
      </c>
      <c r="U587">
        <v>14.35</v>
      </c>
    </row>
    <row r="588" spans="1:21" x14ac:dyDescent="0.35">
      <c r="A588">
        <v>587</v>
      </c>
      <c r="B588" t="s">
        <v>455</v>
      </c>
      <c r="C588" s="1">
        <v>45778</v>
      </c>
      <c r="D588" s="1">
        <v>45780</v>
      </c>
      <c r="E588" t="s">
        <v>50</v>
      </c>
      <c r="F588" t="s">
        <v>361</v>
      </c>
      <c r="G588" t="s">
        <v>362</v>
      </c>
      <c r="H588" t="s">
        <v>38</v>
      </c>
      <c r="I588" t="s">
        <v>26</v>
      </c>
      <c r="J588" t="s">
        <v>162</v>
      </c>
      <c r="K588" t="s">
        <v>163</v>
      </c>
      <c r="L588">
        <v>28205</v>
      </c>
      <c r="M588" t="s">
        <v>65</v>
      </c>
      <c r="N588" t="s">
        <v>106</v>
      </c>
      <c r="O588" t="s">
        <v>43</v>
      </c>
      <c r="P588" t="s">
        <v>107</v>
      </c>
      <c r="Q588" t="s">
        <v>108</v>
      </c>
      <c r="R588">
        <v>37.799999999999997</v>
      </c>
      <c r="S588">
        <v>6</v>
      </c>
      <c r="T588">
        <v>0.3</v>
      </c>
      <c r="U588">
        <v>5.23</v>
      </c>
    </row>
    <row r="589" spans="1:21" x14ac:dyDescent="0.35">
      <c r="A589">
        <v>588</v>
      </c>
      <c r="B589" t="s">
        <v>455</v>
      </c>
      <c r="C589" s="1">
        <v>45778</v>
      </c>
      <c r="D589" s="1">
        <v>45780</v>
      </c>
      <c r="E589" t="s">
        <v>22</v>
      </c>
      <c r="F589" t="s">
        <v>361</v>
      </c>
      <c r="G589" t="s">
        <v>362</v>
      </c>
      <c r="H589" t="s">
        <v>38</v>
      </c>
      <c r="I589" t="s">
        <v>26</v>
      </c>
      <c r="J589" t="s">
        <v>162</v>
      </c>
      <c r="K589" t="s">
        <v>163</v>
      </c>
      <c r="L589">
        <v>28205</v>
      </c>
      <c r="M589" t="s">
        <v>65</v>
      </c>
      <c r="N589" t="s">
        <v>95</v>
      </c>
      <c r="O589" t="s">
        <v>47</v>
      </c>
      <c r="P589" t="s">
        <v>48</v>
      </c>
      <c r="Q589" t="s">
        <v>96</v>
      </c>
      <c r="R589">
        <v>154</v>
      </c>
      <c r="S589">
        <v>7</v>
      </c>
      <c r="T589">
        <v>0</v>
      </c>
      <c r="U589">
        <v>44.64</v>
      </c>
    </row>
    <row r="590" spans="1:21" x14ac:dyDescent="0.35">
      <c r="A590">
        <v>589</v>
      </c>
      <c r="B590" t="s">
        <v>456</v>
      </c>
      <c r="C590" s="1">
        <v>45456</v>
      </c>
      <c r="D590" s="1">
        <v>45458</v>
      </c>
      <c r="E590" t="s">
        <v>35</v>
      </c>
      <c r="F590" t="s">
        <v>210</v>
      </c>
      <c r="G590" t="s">
        <v>211</v>
      </c>
      <c r="H590" t="s">
        <v>25</v>
      </c>
      <c r="I590" t="s">
        <v>26</v>
      </c>
      <c r="J590" t="s">
        <v>39</v>
      </c>
      <c r="K590" t="s">
        <v>40</v>
      </c>
      <c r="L590">
        <v>53711</v>
      </c>
      <c r="M590" t="s">
        <v>41</v>
      </c>
      <c r="N590" t="s">
        <v>51</v>
      </c>
      <c r="O590" t="s">
        <v>43</v>
      </c>
      <c r="P590" t="s">
        <v>52</v>
      </c>
      <c r="Q590" t="s">
        <v>53</v>
      </c>
      <c r="R590">
        <v>38.4</v>
      </c>
      <c r="S590">
        <v>6</v>
      </c>
      <c r="T590">
        <v>0.2</v>
      </c>
      <c r="U590">
        <v>3.74</v>
      </c>
    </row>
    <row r="591" spans="1:21" x14ac:dyDescent="0.35">
      <c r="A591">
        <v>590</v>
      </c>
      <c r="B591" t="s">
        <v>456</v>
      </c>
      <c r="C591" s="1">
        <v>45456</v>
      </c>
      <c r="D591" s="1">
        <v>45458</v>
      </c>
      <c r="E591" t="s">
        <v>35</v>
      </c>
      <c r="F591" t="s">
        <v>210</v>
      </c>
      <c r="G591" t="s">
        <v>211</v>
      </c>
      <c r="H591" t="s">
        <v>25</v>
      </c>
      <c r="I591" t="s">
        <v>26</v>
      </c>
      <c r="J591" t="s">
        <v>39</v>
      </c>
      <c r="K591" t="s">
        <v>40</v>
      </c>
      <c r="L591">
        <v>53711</v>
      </c>
      <c r="M591" t="s">
        <v>41</v>
      </c>
      <c r="N591" t="s">
        <v>30</v>
      </c>
      <c r="O591" t="s">
        <v>31</v>
      </c>
      <c r="P591" t="s">
        <v>32</v>
      </c>
      <c r="Q591" t="s">
        <v>33</v>
      </c>
      <c r="R591">
        <v>460</v>
      </c>
      <c r="S591">
        <v>2</v>
      </c>
      <c r="T591">
        <v>0</v>
      </c>
      <c r="U591">
        <v>53.94</v>
      </c>
    </row>
    <row r="592" spans="1:21" x14ac:dyDescent="0.35">
      <c r="A592">
        <v>591</v>
      </c>
      <c r="B592" t="s">
        <v>456</v>
      </c>
      <c r="C592" s="1">
        <v>45456</v>
      </c>
      <c r="D592" s="1">
        <v>45458</v>
      </c>
      <c r="E592" t="s">
        <v>35</v>
      </c>
      <c r="F592" t="s">
        <v>210</v>
      </c>
      <c r="G592" t="s">
        <v>211</v>
      </c>
      <c r="H592" t="s">
        <v>25</v>
      </c>
      <c r="I592" t="s">
        <v>26</v>
      </c>
      <c r="J592" t="s">
        <v>39</v>
      </c>
      <c r="K592" t="s">
        <v>40</v>
      </c>
      <c r="L592">
        <v>53711</v>
      </c>
      <c r="M592" t="s">
        <v>41</v>
      </c>
      <c r="N592" t="s">
        <v>121</v>
      </c>
      <c r="O592" t="s">
        <v>47</v>
      </c>
      <c r="P592" t="s">
        <v>122</v>
      </c>
      <c r="Q592" t="s">
        <v>123</v>
      </c>
      <c r="R592">
        <v>2160</v>
      </c>
      <c r="S592">
        <v>5</v>
      </c>
      <c r="T592">
        <v>0.2</v>
      </c>
      <c r="U592">
        <v>153.1</v>
      </c>
    </row>
    <row r="593" spans="1:21" x14ac:dyDescent="0.35">
      <c r="A593">
        <v>592</v>
      </c>
      <c r="B593" t="s">
        <v>456</v>
      </c>
      <c r="C593" s="1">
        <v>45456</v>
      </c>
      <c r="D593" s="1">
        <v>45458</v>
      </c>
      <c r="E593" t="s">
        <v>22</v>
      </c>
      <c r="F593" t="s">
        <v>210</v>
      </c>
      <c r="G593" t="s">
        <v>211</v>
      </c>
      <c r="H593" t="s">
        <v>25</v>
      </c>
      <c r="I593" t="s">
        <v>26</v>
      </c>
      <c r="J593" t="s">
        <v>39</v>
      </c>
      <c r="K593" t="s">
        <v>40</v>
      </c>
      <c r="L593">
        <v>53711</v>
      </c>
      <c r="M593" t="s">
        <v>41</v>
      </c>
      <c r="N593" t="s">
        <v>95</v>
      </c>
      <c r="O593" t="s">
        <v>47</v>
      </c>
      <c r="P593" t="s">
        <v>48</v>
      </c>
      <c r="Q593" t="s">
        <v>96</v>
      </c>
      <c r="R593">
        <v>132</v>
      </c>
      <c r="S593">
        <v>6</v>
      </c>
      <c r="T593">
        <v>0</v>
      </c>
      <c r="U593">
        <v>40.98</v>
      </c>
    </row>
    <row r="594" spans="1:21" x14ac:dyDescent="0.35">
      <c r="A594">
        <v>593</v>
      </c>
      <c r="B594" t="s">
        <v>457</v>
      </c>
      <c r="C594" s="1">
        <v>45568</v>
      </c>
      <c r="D594" s="1">
        <v>45572</v>
      </c>
      <c r="E594" t="s">
        <v>22</v>
      </c>
      <c r="F594" t="s">
        <v>142</v>
      </c>
      <c r="G594" t="s">
        <v>143</v>
      </c>
      <c r="H594" t="s">
        <v>62</v>
      </c>
      <c r="I594" t="s">
        <v>26</v>
      </c>
      <c r="J594" t="s">
        <v>83</v>
      </c>
      <c r="K594" t="s">
        <v>84</v>
      </c>
      <c r="L594">
        <v>98103</v>
      </c>
      <c r="M594" t="s">
        <v>85</v>
      </c>
      <c r="N594" t="s">
        <v>42</v>
      </c>
      <c r="O594" t="s">
        <v>43</v>
      </c>
      <c r="P594" t="s">
        <v>44</v>
      </c>
      <c r="Q594" t="s">
        <v>45</v>
      </c>
      <c r="R594">
        <v>84</v>
      </c>
      <c r="S594">
        <v>6</v>
      </c>
      <c r="T594">
        <v>0</v>
      </c>
      <c r="U594">
        <v>34.81</v>
      </c>
    </row>
    <row r="595" spans="1:21" x14ac:dyDescent="0.35">
      <c r="A595">
        <v>594</v>
      </c>
      <c r="B595" t="s">
        <v>457</v>
      </c>
      <c r="C595" s="1">
        <v>45568</v>
      </c>
      <c r="D595" s="1">
        <v>45572</v>
      </c>
      <c r="E595" t="s">
        <v>35</v>
      </c>
      <c r="F595" t="s">
        <v>142</v>
      </c>
      <c r="G595" t="s">
        <v>143</v>
      </c>
      <c r="H595" t="s">
        <v>62</v>
      </c>
      <c r="I595" t="s">
        <v>26</v>
      </c>
      <c r="J595" t="s">
        <v>83</v>
      </c>
      <c r="K595" t="s">
        <v>84</v>
      </c>
      <c r="L595">
        <v>98103</v>
      </c>
      <c r="M595" t="s">
        <v>85</v>
      </c>
      <c r="N595" t="s">
        <v>125</v>
      </c>
      <c r="O595" t="s">
        <v>43</v>
      </c>
      <c r="P595" t="s">
        <v>126</v>
      </c>
      <c r="Q595" t="s">
        <v>127</v>
      </c>
      <c r="R595">
        <v>288</v>
      </c>
      <c r="S595">
        <v>3</v>
      </c>
      <c r="T595">
        <v>0.2</v>
      </c>
      <c r="U595">
        <v>16.38</v>
      </c>
    </row>
    <row r="596" spans="1:21" x14ac:dyDescent="0.35">
      <c r="A596">
        <v>595</v>
      </c>
      <c r="B596" t="s">
        <v>457</v>
      </c>
      <c r="C596" s="1">
        <v>45568</v>
      </c>
      <c r="D596" s="1">
        <v>45572</v>
      </c>
      <c r="E596" t="s">
        <v>22</v>
      </c>
      <c r="F596" t="s">
        <v>142</v>
      </c>
      <c r="G596" t="s">
        <v>143</v>
      </c>
      <c r="H596" t="s">
        <v>62</v>
      </c>
      <c r="I596" t="s">
        <v>26</v>
      </c>
      <c r="J596" t="s">
        <v>83</v>
      </c>
      <c r="K596" t="s">
        <v>84</v>
      </c>
      <c r="L596">
        <v>98103</v>
      </c>
      <c r="M596" t="s">
        <v>85</v>
      </c>
      <c r="N596" t="s">
        <v>66</v>
      </c>
      <c r="O596" t="s">
        <v>47</v>
      </c>
      <c r="P596" t="s">
        <v>67</v>
      </c>
      <c r="Q596" t="s">
        <v>68</v>
      </c>
      <c r="R596">
        <v>2310</v>
      </c>
      <c r="S596">
        <v>7</v>
      </c>
      <c r="T596">
        <v>0</v>
      </c>
      <c r="U596">
        <v>394.11</v>
      </c>
    </row>
    <row r="597" spans="1:21" x14ac:dyDescent="0.35">
      <c r="A597">
        <v>596</v>
      </c>
      <c r="B597" t="s">
        <v>458</v>
      </c>
      <c r="C597" s="1">
        <v>45765</v>
      </c>
      <c r="D597" s="1">
        <v>45770</v>
      </c>
      <c r="E597" t="s">
        <v>94</v>
      </c>
      <c r="F597" t="s">
        <v>157</v>
      </c>
      <c r="G597" t="s">
        <v>158</v>
      </c>
      <c r="H597" t="s">
        <v>62</v>
      </c>
      <c r="I597" t="s">
        <v>26</v>
      </c>
      <c r="J597" t="s">
        <v>89</v>
      </c>
      <c r="K597" t="s">
        <v>90</v>
      </c>
      <c r="L597">
        <v>90036</v>
      </c>
      <c r="M597" t="s">
        <v>85</v>
      </c>
      <c r="N597" t="s">
        <v>103</v>
      </c>
      <c r="O597" t="s">
        <v>47</v>
      </c>
      <c r="P597" t="s">
        <v>104</v>
      </c>
      <c r="Q597" t="s">
        <v>105</v>
      </c>
      <c r="R597">
        <v>5340</v>
      </c>
      <c r="S597">
        <v>6</v>
      </c>
      <c r="T597">
        <v>0</v>
      </c>
      <c r="U597">
        <v>1068.47</v>
      </c>
    </row>
    <row r="598" spans="1:21" x14ac:dyDescent="0.35">
      <c r="A598">
        <v>597</v>
      </c>
      <c r="B598" t="s">
        <v>458</v>
      </c>
      <c r="C598" s="1">
        <v>45765</v>
      </c>
      <c r="D598" s="1">
        <v>45770</v>
      </c>
      <c r="E598" t="s">
        <v>50</v>
      </c>
      <c r="F598" t="s">
        <v>157</v>
      </c>
      <c r="G598" t="s">
        <v>158</v>
      </c>
      <c r="H598" t="s">
        <v>62</v>
      </c>
      <c r="I598" t="s">
        <v>26</v>
      </c>
      <c r="J598" t="s">
        <v>89</v>
      </c>
      <c r="K598" t="s">
        <v>90</v>
      </c>
      <c r="L598">
        <v>90036</v>
      </c>
      <c r="M598" t="s">
        <v>85</v>
      </c>
      <c r="N598" t="s">
        <v>42</v>
      </c>
      <c r="O598" t="s">
        <v>43</v>
      </c>
      <c r="P598" t="s">
        <v>44</v>
      </c>
      <c r="Q598" t="s">
        <v>45</v>
      </c>
      <c r="R598">
        <v>37.799999999999997</v>
      </c>
      <c r="S598">
        <v>3</v>
      </c>
      <c r="T598">
        <v>0.1</v>
      </c>
      <c r="U598">
        <v>13.1</v>
      </c>
    </row>
    <row r="599" spans="1:21" x14ac:dyDescent="0.35">
      <c r="A599">
        <v>598</v>
      </c>
      <c r="B599" t="s">
        <v>458</v>
      </c>
      <c r="C599" s="1">
        <v>45765</v>
      </c>
      <c r="D599" s="1">
        <v>45770</v>
      </c>
      <c r="E599" t="s">
        <v>22</v>
      </c>
      <c r="F599" t="s">
        <v>157</v>
      </c>
      <c r="G599" t="s">
        <v>158</v>
      </c>
      <c r="H599" t="s">
        <v>62</v>
      </c>
      <c r="I599" t="s">
        <v>26</v>
      </c>
      <c r="J599" t="s">
        <v>89</v>
      </c>
      <c r="K599" t="s">
        <v>90</v>
      </c>
      <c r="L599">
        <v>90036</v>
      </c>
      <c r="M599" t="s">
        <v>85</v>
      </c>
      <c r="N599" t="s">
        <v>125</v>
      </c>
      <c r="O599" t="s">
        <v>43</v>
      </c>
      <c r="P599" t="s">
        <v>126</v>
      </c>
      <c r="Q599" t="s">
        <v>127</v>
      </c>
      <c r="R599">
        <v>300</v>
      </c>
      <c r="S599">
        <v>5</v>
      </c>
      <c r="T599">
        <v>0.5</v>
      </c>
      <c r="U599">
        <v>-36.96</v>
      </c>
    </row>
    <row r="600" spans="1:21" x14ac:dyDescent="0.35">
      <c r="A600">
        <v>599</v>
      </c>
      <c r="B600" t="s">
        <v>459</v>
      </c>
      <c r="C600" s="1">
        <v>45620</v>
      </c>
      <c r="D600" s="1">
        <v>45623</v>
      </c>
      <c r="E600" t="s">
        <v>35</v>
      </c>
      <c r="F600" t="s">
        <v>129</v>
      </c>
      <c r="G600" t="s">
        <v>130</v>
      </c>
      <c r="H600" t="s">
        <v>62</v>
      </c>
      <c r="I600" t="s">
        <v>26</v>
      </c>
      <c r="J600" t="s">
        <v>131</v>
      </c>
      <c r="K600" t="s">
        <v>90</v>
      </c>
      <c r="L600">
        <v>94122</v>
      </c>
      <c r="M600" t="s">
        <v>85</v>
      </c>
      <c r="N600" t="s">
        <v>125</v>
      </c>
      <c r="O600" t="s">
        <v>43</v>
      </c>
      <c r="P600" t="s">
        <v>126</v>
      </c>
      <c r="Q600" t="s">
        <v>127</v>
      </c>
      <c r="R600">
        <v>480</v>
      </c>
      <c r="S600">
        <v>4</v>
      </c>
      <c r="T600">
        <v>0</v>
      </c>
      <c r="U600">
        <v>85.58</v>
      </c>
    </row>
    <row r="601" spans="1:21" x14ac:dyDescent="0.35">
      <c r="A601">
        <v>600</v>
      </c>
      <c r="B601" t="s">
        <v>459</v>
      </c>
      <c r="C601" s="1">
        <v>45620</v>
      </c>
      <c r="D601" s="1">
        <v>45623</v>
      </c>
      <c r="E601" t="s">
        <v>94</v>
      </c>
      <c r="F601" t="s">
        <v>129</v>
      </c>
      <c r="G601" t="s">
        <v>130</v>
      </c>
      <c r="H601" t="s">
        <v>62</v>
      </c>
      <c r="I601" t="s">
        <v>26</v>
      </c>
      <c r="J601" t="s">
        <v>131</v>
      </c>
      <c r="K601" t="s">
        <v>90</v>
      </c>
      <c r="L601">
        <v>94122</v>
      </c>
      <c r="M601" t="s">
        <v>85</v>
      </c>
      <c r="N601" t="s">
        <v>106</v>
      </c>
      <c r="O601" t="s">
        <v>43</v>
      </c>
      <c r="P601" t="s">
        <v>107</v>
      </c>
      <c r="Q601" t="s">
        <v>108</v>
      </c>
      <c r="R601">
        <v>36</v>
      </c>
      <c r="S601">
        <v>4</v>
      </c>
      <c r="T601">
        <v>0</v>
      </c>
      <c r="U601">
        <v>12.45</v>
      </c>
    </row>
    <row r="602" spans="1:21" x14ac:dyDescent="0.35">
      <c r="A602">
        <v>601</v>
      </c>
      <c r="B602" t="s">
        <v>460</v>
      </c>
      <c r="C602" s="1">
        <v>45793</v>
      </c>
      <c r="D602" s="1">
        <v>45794</v>
      </c>
      <c r="E602" t="s">
        <v>35</v>
      </c>
      <c r="F602" t="s">
        <v>246</v>
      </c>
      <c r="G602" t="s">
        <v>247</v>
      </c>
      <c r="H602" t="s">
        <v>25</v>
      </c>
      <c r="I602" t="s">
        <v>26</v>
      </c>
      <c r="J602" t="s">
        <v>248</v>
      </c>
      <c r="K602" t="s">
        <v>174</v>
      </c>
      <c r="L602">
        <v>75217</v>
      </c>
      <c r="M602" t="s">
        <v>41</v>
      </c>
      <c r="N602" t="s">
        <v>106</v>
      </c>
      <c r="O602" t="s">
        <v>43</v>
      </c>
      <c r="P602" t="s">
        <v>107</v>
      </c>
      <c r="Q602" t="s">
        <v>108</v>
      </c>
      <c r="R602">
        <v>40.5</v>
      </c>
      <c r="S602">
        <v>5</v>
      </c>
      <c r="T602">
        <v>0.1</v>
      </c>
      <c r="U602">
        <v>8.74</v>
      </c>
    </row>
    <row r="603" spans="1:21" x14ac:dyDescent="0.35">
      <c r="A603">
        <v>602</v>
      </c>
      <c r="B603" t="s">
        <v>460</v>
      </c>
      <c r="C603" s="1">
        <v>45793</v>
      </c>
      <c r="D603" s="1">
        <v>45794</v>
      </c>
      <c r="E603" t="s">
        <v>22</v>
      </c>
      <c r="F603" t="s">
        <v>246</v>
      </c>
      <c r="G603" t="s">
        <v>247</v>
      </c>
      <c r="H603" t="s">
        <v>25</v>
      </c>
      <c r="I603" t="s">
        <v>26</v>
      </c>
      <c r="J603" t="s">
        <v>248</v>
      </c>
      <c r="K603" t="s">
        <v>174</v>
      </c>
      <c r="L603">
        <v>75217</v>
      </c>
      <c r="M603" t="s">
        <v>41</v>
      </c>
      <c r="N603" t="s">
        <v>109</v>
      </c>
      <c r="O603" t="s">
        <v>31</v>
      </c>
      <c r="P603" t="s">
        <v>110</v>
      </c>
      <c r="Q603" t="s">
        <v>111</v>
      </c>
      <c r="R603">
        <v>100</v>
      </c>
      <c r="S603">
        <v>5</v>
      </c>
      <c r="T603">
        <v>0.2</v>
      </c>
      <c r="U603">
        <v>17.48</v>
      </c>
    </row>
    <row r="604" spans="1:21" x14ac:dyDescent="0.35">
      <c r="A604">
        <v>603</v>
      </c>
      <c r="B604" t="s">
        <v>460</v>
      </c>
      <c r="C604" s="1">
        <v>45793</v>
      </c>
      <c r="D604" s="1">
        <v>45794</v>
      </c>
      <c r="E604" t="s">
        <v>35</v>
      </c>
      <c r="F604" t="s">
        <v>246</v>
      </c>
      <c r="G604" t="s">
        <v>247</v>
      </c>
      <c r="H604" t="s">
        <v>25</v>
      </c>
      <c r="I604" t="s">
        <v>26</v>
      </c>
      <c r="J604" t="s">
        <v>248</v>
      </c>
      <c r="K604" t="s">
        <v>174</v>
      </c>
      <c r="L604">
        <v>75217</v>
      </c>
      <c r="M604" t="s">
        <v>41</v>
      </c>
      <c r="N604" t="s">
        <v>125</v>
      </c>
      <c r="O604" t="s">
        <v>43</v>
      </c>
      <c r="P604" t="s">
        <v>126</v>
      </c>
      <c r="Q604" t="s">
        <v>127</v>
      </c>
      <c r="R604">
        <v>240</v>
      </c>
      <c r="S604">
        <v>2</v>
      </c>
      <c r="T604">
        <v>0</v>
      </c>
      <c r="U604">
        <v>41.8</v>
      </c>
    </row>
    <row r="605" spans="1:21" x14ac:dyDescent="0.35">
      <c r="A605">
        <v>604</v>
      </c>
      <c r="B605" t="s">
        <v>461</v>
      </c>
      <c r="C605" s="1">
        <v>45647</v>
      </c>
      <c r="D605" s="1">
        <v>45653</v>
      </c>
      <c r="E605" t="s">
        <v>22</v>
      </c>
      <c r="F605" t="s">
        <v>87</v>
      </c>
      <c r="G605" t="s">
        <v>88</v>
      </c>
      <c r="H605" t="s">
        <v>62</v>
      </c>
      <c r="I605" t="s">
        <v>26</v>
      </c>
      <c r="J605" t="s">
        <v>89</v>
      </c>
      <c r="K605" t="s">
        <v>90</v>
      </c>
      <c r="L605">
        <v>90036</v>
      </c>
      <c r="M605" t="s">
        <v>85</v>
      </c>
      <c r="N605" t="s">
        <v>95</v>
      </c>
      <c r="O605" t="s">
        <v>47</v>
      </c>
      <c r="P605" t="s">
        <v>48</v>
      </c>
      <c r="Q605" t="s">
        <v>96</v>
      </c>
      <c r="R605">
        <v>79.2</v>
      </c>
      <c r="S605">
        <v>4</v>
      </c>
      <c r="T605">
        <v>0.1</v>
      </c>
      <c r="U605">
        <v>19.239999999999998</v>
      </c>
    </row>
    <row r="606" spans="1:21" x14ac:dyDescent="0.35">
      <c r="A606">
        <v>605</v>
      </c>
      <c r="B606" t="s">
        <v>461</v>
      </c>
      <c r="C606" s="1">
        <v>45647</v>
      </c>
      <c r="D606" s="1">
        <v>45653</v>
      </c>
      <c r="E606" t="s">
        <v>35</v>
      </c>
      <c r="F606" t="s">
        <v>87</v>
      </c>
      <c r="G606" t="s">
        <v>88</v>
      </c>
      <c r="H606" t="s">
        <v>62</v>
      </c>
      <c r="I606" t="s">
        <v>26</v>
      </c>
      <c r="J606" t="s">
        <v>89</v>
      </c>
      <c r="K606" t="s">
        <v>90</v>
      </c>
      <c r="L606">
        <v>90036</v>
      </c>
      <c r="M606" t="s">
        <v>85</v>
      </c>
      <c r="N606" t="s">
        <v>69</v>
      </c>
      <c r="O606" t="s">
        <v>43</v>
      </c>
      <c r="P606" t="s">
        <v>70</v>
      </c>
      <c r="Q606" t="s">
        <v>71</v>
      </c>
      <c r="R606">
        <v>121.5</v>
      </c>
      <c r="S606">
        <v>3</v>
      </c>
      <c r="T606">
        <v>0.1</v>
      </c>
      <c r="U606">
        <v>10.09</v>
      </c>
    </row>
    <row r="607" spans="1:21" x14ac:dyDescent="0.35">
      <c r="A607">
        <v>606</v>
      </c>
      <c r="B607" t="s">
        <v>461</v>
      </c>
      <c r="C607" s="1">
        <v>45647</v>
      </c>
      <c r="D607" s="1">
        <v>45653</v>
      </c>
      <c r="E607" t="s">
        <v>35</v>
      </c>
      <c r="F607" t="s">
        <v>87</v>
      </c>
      <c r="G607" t="s">
        <v>88</v>
      </c>
      <c r="H607" t="s">
        <v>62</v>
      </c>
      <c r="I607" t="s">
        <v>26</v>
      </c>
      <c r="J607" t="s">
        <v>89</v>
      </c>
      <c r="K607" t="s">
        <v>90</v>
      </c>
      <c r="L607">
        <v>90036</v>
      </c>
      <c r="M607" t="s">
        <v>85</v>
      </c>
      <c r="N607" t="s">
        <v>42</v>
      </c>
      <c r="O607" t="s">
        <v>43</v>
      </c>
      <c r="P607" t="s">
        <v>44</v>
      </c>
      <c r="Q607" t="s">
        <v>45</v>
      </c>
      <c r="R607">
        <v>67.2</v>
      </c>
      <c r="S607">
        <v>6</v>
      </c>
      <c r="T607">
        <v>0.2</v>
      </c>
      <c r="U607">
        <v>20.16</v>
      </c>
    </row>
    <row r="608" spans="1:21" x14ac:dyDescent="0.35">
      <c r="A608">
        <v>607</v>
      </c>
      <c r="B608" t="s">
        <v>461</v>
      </c>
      <c r="C608" s="1">
        <v>45647</v>
      </c>
      <c r="D608" s="1">
        <v>45653</v>
      </c>
      <c r="E608" t="s">
        <v>35</v>
      </c>
      <c r="F608" t="s">
        <v>87</v>
      </c>
      <c r="G608" t="s">
        <v>88</v>
      </c>
      <c r="H608" t="s">
        <v>62</v>
      </c>
      <c r="I608" t="s">
        <v>26</v>
      </c>
      <c r="J608" t="s">
        <v>89</v>
      </c>
      <c r="K608" t="s">
        <v>90</v>
      </c>
      <c r="L608">
        <v>90036</v>
      </c>
      <c r="M608" t="s">
        <v>85</v>
      </c>
      <c r="N608" t="s">
        <v>125</v>
      </c>
      <c r="O608" t="s">
        <v>43</v>
      </c>
      <c r="P608" t="s">
        <v>126</v>
      </c>
      <c r="Q608" t="s">
        <v>127</v>
      </c>
      <c r="R608">
        <v>720</v>
      </c>
      <c r="S608">
        <v>6</v>
      </c>
      <c r="T608">
        <v>0</v>
      </c>
      <c r="U608">
        <v>129.66999999999999</v>
      </c>
    </row>
    <row r="609" spans="1:21" x14ac:dyDescent="0.35">
      <c r="A609">
        <v>608</v>
      </c>
      <c r="B609" t="s">
        <v>462</v>
      </c>
      <c r="C609" s="1">
        <v>45632</v>
      </c>
      <c r="D609" s="1">
        <v>45635</v>
      </c>
      <c r="E609" t="s">
        <v>50</v>
      </c>
      <c r="F609" t="s">
        <v>92</v>
      </c>
      <c r="G609" t="s">
        <v>93</v>
      </c>
      <c r="H609" t="s">
        <v>38</v>
      </c>
      <c r="I609" t="s">
        <v>26</v>
      </c>
      <c r="J609" t="s">
        <v>75</v>
      </c>
      <c r="K609" t="s">
        <v>76</v>
      </c>
      <c r="L609">
        <v>2110</v>
      </c>
      <c r="M609" t="s">
        <v>29</v>
      </c>
      <c r="N609" t="s">
        <v>51</v>
      </c>
      <c r="O609" t="s">
        <v>43</v>
      </c>
      <c r="P609" t="s">
        <v>52</v>
      </c>
      <c r="Q609" t="s">
        <v>53</v>
      </c>
      <c r="R609">
        <v>19.2</v>
      </c>
      <c r="S609">
        <v>3</v>
      </c>
      <c r="T609">
        <v>0.2</v>
      </c>
      <c r="U609">
        <v>3.08</v>
      </c>
    </row>
    <row r="610" spans="1:21" x14ac:dyDescent="0.35">
      <c r="A610">
        <v>609</v>
      </c>
      <c r="B610" t="s">
        <v>462</v>
      </c>
      <c r="C610" s="1">
        <v>45632</v>
      </c>
      <c r="D610" s="1">
        <v>45635</v>
      </c>
      <c r="E610" t="s">
        <v>50</v>
      </c>
      <c r="F610" t="s">
        <v>92</v>
      </c>
      <c r="G610" t="s">
        <v>93</v>
      </c>
      <c r="H610" t="s">
        <v>38</v>
      </c>
      <c r="I610" t="s">
        <v>26</v>
      </c>
      <c r="J610" t="s">
        <v>75</v>
      </c>
      <c r="K610" t="s">
        <v>76</v>
      </c>
      <c r="L610">
        <v>2110</v>
      </c>
      <c r="M610" t="s">
        <v>29</v>
      </c>
      <c r="N610" t="s">
        <v>42</v>
      </c>
      <c r="O610" t="s">
        <v>43</v>
      </c>
      <c r="P610" t="s">
        <v>44</v>
      </c>
      <c r="Q610" t="s">
        <v>45</v>
      </c>
      <c r="R610">
        <v>42</v>
      </c>
      <c r="S610">
        <v>3</v>
      </c>
      <c r="T610">
        <v>0</v>
      </c>
      <c r="U610">
        <v>15.19</v>
      </c>
    </row>
    <row r="611" spans="1:21" x14ac:dyDescent="0.35">
      <c r="A611">
        <v>610</v>
      </c>
      <c r="B611" t="s">
        <v>462</v>
      </c>
      <c r="C611" s="1">
        <v>45632</v>
      </c>
      <c r="D611" s="1">
        <v>45635</v>
      </c>
      <c r="E611" t="s">
        <v>35</v>
      </c>
      <c r="F611" t="s">
        <v>92</v>
      </c>
      <c r="G611" t="s">
        <v>93</v>
      </c>
      <c r="H611" t="s">
        <v>38</v>
      </c>
      <c r="I611" t="s">
        <v>26</v>
      </c>
      <c r="J611" t="s">
        <v>75</v>
      </c>
      <c r="K611" t="s">
        <v>76</v>
      </c>
      <c r="L611">
        <v>2110</v>
      </c>
      <c r="M611" t="s">
        <v>29</v>
      </c>
      <c r="N611" t="s">
        <v>69</v>
      </c>
      <c r="O611" t="s">
        <v>43</v>
      </c>
      <c r="P611" t="s">
        <v>70</v>
      </c>
      <c r="Q611" t="s">
        <v>71</v>
      </c>
      <c r="R611">
        <v>135</v>
      </c>
      <c r="S611">
        <v>3</v>
      </c>
      <c r="T611">
        <v>0</v>
      </c>
      <c r="U611">
        <v>22.21</v>
      </c>
    </row>
    <row r="612" spans="1:21" x14ac:dyDescent="0.35">
      <c r="A612">
        <v>611</v>
      </c>
      <c r="B612" t="s">
        <v>462</v>
      </c>
      <c r="C612" s="1">
        <v>45632</v>
      </c>
      <c r="D612" s="1">
        <v>45635</v>
      </c>
      <c r="E612" t="s">
        <v>94</v>
      </c>
      <c r="F612" t="s">
        <v>92</v>
      </c>
      <c r="G612" t="s">
        <v>93</v>
      </c>
      <c r="H612" t="s">
        <v>38</v>
      </c>
      <c r="I612" t="s">
        <v>26</v>
      </c>
      <c r="J612" t="s">
        <v>75</v>
      </c>
      <c r="K612" t="s">
        <v>76</v>
      </c>
      <c r="L612">
        <v>2110</v>
      </c>
      <c r="M612" t="s">
        <v>29</v>
      </c>
      <c r="N612" t="s">
        <v>103</v>
      </c>
      <c r="O612" t="s">
        <v>47</v>
      </c>
      <c r="P612" t="s">
        <v>104</v>
      </c>
      <c r="Q612" t="s">
        <v>105</v>
      </c>
      <c r="R612">
        <v>3560</v>
      </c>
      <c r="S612">
        <v>5</v>
      </c>
      <c r="T612">
        <v>0.2</v>
      </c>
      <c r="U612">
        <v>286.32</v>
      </c>
    </row>
    <row r="613" spans="1:21" x14ac:dyDescent="0.35">
      <c r="A613">
        <v>612</v>
      </c>
      <c r="B613" t="s">
        <v>463</v>
      </c>
      <c r="C613" s="1">
        <v>45546</v>
      </c>
      <c r="D613" s="1">
        <v>45550</v>
      </c>
      <c r="E613" t="s">
        <v>35</v>
      </c>
      <c r="F613" t="s">
        <v>195</v>
      </c>
      <c r="G613" t="s">
        <v>196</v>
      </c>
      <c r="H613" t="s">
        <v>62</v>
      </c>
      <c r="I613" t="s">
        <v>26</v>
      </c>
      <c r="J613" t="s">
        <v>150</v>
      </c>
      <c r="K613" t="s">
        <v>151</v>
      </c>
      <c r="L613">
        <v>33311</v>
      </c>
      <c r="M613" t="s">
        <v>65</v>
      </c>
      <c r="N613" t="s">
        <v>42</v>
      </c>
      <c r="O613" t="s">
        <v>43</v>
      </c>
      <c r="P613" t="s">
        <v>44</v>
      </c>
      <c r="Q613" t="s">
        <v>45</v>
      </c>
      <c r="R613">
        <v>37.799999999999997</v>
      </c>
      <c r="S613">
        <v>3</v>
      </c>
      <c r="T613">
        <v>0.1</v>
      </c>
      <c r="U613">
        <v>13.86</v>
      </c>
    </row>
    <row r="614" spans="1:21" x14ac:dyDescent="0.35">
      <c r="A614">
        <v>613</v>
      </c>
      <c r="B614" t="s">
        <v>463</v>
      </c>
      <c r="C614" s="1">
        <v>45546</v>
      </c>
      <c r="D614" s="1">
        <v>45550</v>
      </c>
      <c r="E614" t="s">
        <v>94</v>
      </c>
      <c r="F614" t="s">
        <v>195</v>
      </c>
      <c r="G614" t="s">
        <v>196</v>
      </c>
      <c r="H614" t="s">
        <v>62</v>
      </c>
      <c r="I614" t="s">
        <v>26</v>
      </c>
      <c r="J614" t="s">
        <v>150</v>
      </c>
      <c r="K614" t="s">
        <v>151</v>
      </c>
      <c r="L614">
        <v>33311</v>
      </c>
      <c r="M614" t="s">
        <v>65</v>
      </c>
      <c r="N614" t="s">
        <v>69</v>
      </c>
      <c r="O614" t="s">
        <v>43</v>
      </c>
      <c r="P614" t="s">
        <v>70</v>
      </c>
      <c r="Q614" t="s">
        <v>71</v>
      </c>
      <c r="R614">
        <v>40.5</v>
      </c>
      <c r="S614">
        <v>1</v>
      </c>
      <c r="T614">
        <v>0.1</v>
      </c>
      <c r="U614">
        <v>3.65</v>
      </c>
    </row>
    <row r="615" spans="1:21" x14ac:dyDescent="0.35">
      <c r="A615">
        <v>614</v>
      </c>
      <c r="B615" t="s">
        <v>463</v>
      </c>
      <c r="C615" s="1">
        <v>45546</v>
      </c>
      <c r="D615" s="1">
        <v>45550</v>
      </c>
      <c r="E615" t="s">
        <v>35</v>
      </c>
      <c r="F615" t="s">
        <v>195</v>
      </c>
      <c r="G615" t="s">
        <v>196</v>
      </c>
      <c r="H615" t="s">
        <v>62</v>
      </c>
      <c r="I615" t="s">
        <v>26</v>
      </c>
      <c r="J615" t="s">
        <v>150</v>
      </c>
      <c r="K615" t="s">
        <v>151</v>
      </c>
      <c r="L615">
        <v>33311</v>
      </c>
      <c r="M615" t="s">
        <v>65</v>
      </c>
      <c r="N615" t="s">
        <v>109</v>
      </c>
      <c r="O615" t="s">
        <v>31</v>
      </c>
      <c r="P615" t="s">
        <v>110</v>
      </c>
      <c r="Q615" t="s">
        <v>111</v>
      </c>
      <c r="R615">
        <v>150</v>
      </c>
      <c r="S615">
        <v>6</v>
      </c>
      <c r="T615">
        <v>0</v>
      </c>
      <c r="U615">
        <v>42.73</v>
      </c>
    </row>
    <row r="616" spans="1:21" x14ac:dyDescent="0.35">
      <c r="A616">
        <v>615</v>
      </c>
      <c r="B616" t="s">
        <v>464</v>
      </c>
      <c r="C616" s="1">
        <v>45935</v>
      </c>
      <c r="D616" s="1">
        <v>45939</v>
      </c>
      <c r="E616" t="s">
        <v>50</v>
      </c>
      <c r="F616" t="s">
        <v>253</v>
      </c>
      <c r="G616" t="s">
        <v>254</v>
      </c>
      <c r="H616" t="s">
        <v>62</v>
      </c>
      <c r="I616" t="s">
        <v>26</v>
      </c>
      <c r="J616" t="s">
        <v>229</v>
      </c>
      <c r="K616" t="s">
        <v>230</v>
      </c>
      <c r="L616">
        <v>30318</v>
      </c>
      <c r="M616" t="s">
        <v>65</v>
      </c>
      <c r="N616" t="s">
        <v>77</v>
      </c>
      <c r="O616" t="s">
        <v>31</v>
      </c>
      <c r="P616" t="s">
        <v>78</v>
      </c>
      <c r="Q616" t="s">
        <v>79</v>
      </c>
      <c r="R616">
        <v>1512</v>
      </c>
      <c r="S616">
        <v>4</v>
      </c>
      <c r="T616">
        <v>0.1</v>
      </c>
      <c r="U616">
        <v>-165.2</v>
      </c>
    </row>
    <row r="617" spans="1:21" x14ac:dyDescent="0.35">
      <c r="A617">
        <v>616</v>
      </c>
      <c r="B617" t="s">
        <v>465</v>
      </c>
      <c r="C617" s="1">
        <v>45800</v>
      </c>
      <c r="D617" s="1">
        <v>45803</v>
      </c>
      <c r="E617" t="s">
        <v>50</v>
      </c>
      <c r="F617" t="s">
        <v>186</v>
      </c>
      <c r="G617" t="s">
        <v>187</v>
      </c>
      <c r="H617" t="s">
        <v>25</v>
      </c>
      <c r="I617" t="s">
        <v>26</v>
      </c>
      <c r="J617" t="s">
        <v>162</v>
      </c>
      <c r="K617" t="s">
        <v>163</v>
      </c>
      <c r="L617">
        <v>28205</v>
      </c>
      <c r="M617" t="s">
        <v>65</v>
      </c>
      <c r="N617" t="s">
        <v>66</v>
      </c>
      <c r="O617" t="s">
        <v>47</v>
      </c>
      <c r="P617" t="s">
        <v>67</v>
      </c>
      <c r="Q617" t="s">
        <v>68</v>
      </c>
      <c r="R617">
        <v>1485</v>
      </c>
      <c r="S617">
        <v>5</v>
      </c>
      <c r="T617">
        <v>0.1</v>
      </c>
      <c r="U617">
        <v>161.75</v>
      </c>
    </row>
    <row r="618" spans="1:21" x14ac:dyDescent="0.35">
      <c r="A618">
        <v>617</v>
      </c>
      <c r="B618" t="s">
        <v>465</v>
      </c>
      <c r="C618" s="1">
        <v>45800</v>
      </c>
      <c r="D618" s="1">
        <v>45803</v>
      </c>
      <c r="E618" t="s">
        <v>22</v>
      </c>
      <c r="F618" t="s">
        <v>186</v>
      </c>
      <c r="G618" t="s">
        <v>187</v>
      </c>
      <c r="H618" t="s">
        <v>25</v>
      </c>
      <c r="I618" t="s">
        <v>26</v>
      </c>
      <c r="J618" t="s">
        <v>162</v>
      </c>
      <c r="K618" t="s">
        <v>163</v>
      </c>
      <c r="L618">
        <v>28205</v>
      </c>
      <c r="M618" t="s">
        <v>65</v>
      </c>
      <c r="N618" t="s">
        <v>97</v>
      </c>
      <c r="O618" t="s">
        <v>31</v>
      </c>
      <c r="P618" t="s">
        <v>98</v>
      </c>
      <c r="Q618" t="s">
        <v>99</v>
      </c>
      <c r="R618">
        <v>260</v>
      </c>
      <c r="S618">
        <v>1</v>
      </c>
      <c r="T618">
        <v>0</v>
      </c>
      <c r="U618">
        <v>25.73</v>
      </c>
    </row>
    <row r="619" spans="1:21" x14ac:dyDescent="0.35">
      <c r="A619">
        <v>618</v>
      </c>
      <c r="B619" t="s">
        <v>466</v>
      </c>
      <c r="C619" s="1">
        <v>45582</v>
      </c>
      <c r="D619" s="1">
        <v>45587</v>
      </c>
      <c r="E619" t="s">
        <v>94</v>
      </c>
      <c r="F619" t="s">
        <v>336</v>
      </c>
      <c r="G619" t="s">
        <v>337</v>
      </c>
      <c r="H619" t="s">
        <v>25</v>
      </c>
      <c r="I619" t="s">
        <v>26</v>
      </c>
      <c r="J619" t="s">
        <v>89</v>
      </c>
      <c r="K619" t="s">
        <v>90</v>
      </c>
      <c r="L619">
        <v>90036</v>
      </c>
      <c r="M619" t="s">
        <v>85</v>
      </c>
      <c r="N619" t="s">
        <v>51</v>
      </c>
      <c r="O619" t="s">
        <v>43</v>
      </c>
      <c r="P619" t="s">
        <v>52</v>
      </c>
      <c r="Q619" t="s">
        <v>53</v>
      </c>
      <c r="R619">
        <v>8</v>
      </c>
      <c r="S619">
        <v>1</v>
      </c>
      <c r="T619">
        <v>0</v>
      </c>
      <c r="U619">
        <v>1.37</v>
      </c>
    </row>
    <row r="620" spans="1:21" x14ac:dyDescent="0.35">
      <c r="A620">
        <v>619</v>
      </c>
      <c r="B620" t="s">
        <v>466</v>
      </c>
      <c r="C620" s="1">
        <v>45582</v>
      </c>
      <c r="D620" s="1">
        <v>45587</v>
      </c>
      <c r="E620" t="s">
        <v>50</v>
      </c>
      <c r="F620" t="s">
        <v>336</v>
      </c>
      <c r="G620" t="s">
        <v>337</v>
      </c>
      <c r="H620" t="s">
        <v>25</v>
      </c>
      <c r="I620" t="s">
        <v>26</v>
      </c>
      <c r="J620" t="s">
        <v>89</v>
      </c>
      <c r="K620" t="s">
        <v>90</v>
      </c>
      <c r="L620">
        <v>90036</v>
      </c>
      <c r="M620" t="s">
        <v>85</v>
      </c>
      <c r="N620" t="s">
        <v>109</v>
      </c>
      <c r="O620" t="s">
        <v>31</v>
      </c>
      <c r="P620" t="s">
        <v>110</v>
      </c>
      <c r="Q620" t="s">
        <v>111</v>
      </c>
      <c r="R620">
        <v>125</v>
      </c>
      <c r="S620">
        <v>5</v>
      </c>
      <c r="T620">
        <v>0</v>
      </c>
      <c r="U620">
        <v>36.17</v>
      </c>
    </row>
    <row r="621" spans="1:21" x14ac:dyDescent="0.35">
      <c r="A621">
        <v>620</v>
      </c>
      <c r="B621" t="s">
        <v>467</v>
      </c>
      <c r="C621" s="1">
        <v>46108</v>
      </c>
      <c r="D621" s="1">
        <v>46113</v>
      </c>
      <c r="E621" t="s">
        <v>35</v>
      </c>
      <c r="F621" t="s">
        <v>468</v>
      </c>
      <c r="G621" t="s">
        <v>242</v>
      </c>
      <c r="H621" t="s">
        <v>62</v>
      </c>
      <c r="I621" t="s">
        <v>26</v>
      </c>
      <c r="J621" t="s">
        <v>162</v>
      </c>
      <c r="K621" t="s">
        <v>163</v>
      </c>
      <c r="L621">
        <v>28205</v>
      </c>
      <c r="M621" t="s">
        <v>65</v>
      </c>
      <c r="N621" t="s">
        <v>103</v>
      </c>
      <c r="O621" t="s">
        <v>47</v>
      </c>
      <c r="P621" t="s">
        <v>104</v>
      </c>
      <c r="Q621" t="s">
        <v>105</v>
      </c>
      <c r="R621">
        <v>6230</v>
      </c>
      <c r="S621">
        <v>7</v>
      </c>
      <c r="T621">
        <v>0</v>
      </c>
      <c r="U621">
        <v>1244.5899999999999</v>
      </c>
    </row>
    <row r="622" spans="1:21" x14ac:dyDescent="0.35">
      <c r="A622">
        <v>621</v>
      </c>
      <c r="B622" t="s">
        <v>467</v>
      </c>
      <c r="C622" s="1">
        <v>46108</v>
      </c>
      <c r="D622" s="1">
        <v>46113</v>
      </c>
      <c r="E622" t="s">
        <v>22</v>
      </c>
      <c r="F622" t="s">
        <v>468</v>
      </c>
      <c r="G622" t="s">
        <v>242</v>
      </c>
      <c r="H622" t="s">
        <v>62</v>
      </c>
      <c r="I622" t="s">
        <v>26</v>
      </c>
      <c r="J622" t="s">
        <v>162</v>
      </c>
      <c r="K622" t="s">
        <v>163</v>
      </c>
      <c r="L622">
        <v>28205</v>
      </c>
      <c r="M622" t="s">
        <v>65</v>
      </c>
      <c r="N622" t="s">
        <v>46</v>
      </c>
      <c r="O622" t="s">
        <v>47</v>
      </c>
      <c r="P622" t="s">
        <v>48</v>
      </c>
      <c r="Q622" t="s">
        <v>49</v>
      </c>
      <c r="R622">
        <v>64</v>
      </c>
      <c r="S622">
        <v>2</v>
      </c>
      <c r="T622">
        <v>0</v>
      </c>
      <c r="U622">
        <v>14.85</v>
      </c>
    </row>
    <row r="623" spans="1:21" x14ac:dyDescent="0.35">
      <c r="A623">
        <v>622</v>
      </c>
      <c r="B623" t="s">
        <v>467</v>
      </c>
      <c r="C623" s="1">
        <v>46108</v>
      </c>
      <c r="D623" s="1">
        <v>46113</v>
      </c>
      <c r="E623" t="s">
        <v>35</v>
      </c>
      <c r="F623" t="s">
        <v>468</v>
      </c>
      <c r="G623" t="s">
        <v>242</v>
      </c>
      <c r="H623" t="s">
        <v>62</v>
      </c>
      <c r="I623" t="s">
        <v>26</v>
      </c>
      <c r="J623" t="s">
        <v>162</v>
      </c>
      <c r="K623" t="s">
        <v>163</v>
      </c>
      <c r="L623">
        <v>28205</v>
      </c>
      <c r="M623" t="s">
        <v>65</v>
      </c>
      <c r="N623" t="s">
        <v>95</v>
      </c>
      <c r="O623" t="s">
        <v>47</v>
      </c>
      <c r="P623" t="s">
        <v>48</v>
      </c>
      <c r="Q623" t="s">
        <v>96</v>
      </c>
      <c r="R623">
        <v>105.6</v>
      </c>
      <c r="S623">
        <v>6</v>
      </c>
      <c r="T623">
        <v>0.2</v>
      </c>
      <c r="U623">
        <v>19.03</v>
      </c>
    </row>
    <row r="624" spans="1:21" x14ac:dyDescent="0.35">
      <c r="A624">
        <v>623</v>
      </c>
      <c r="B624" t="s">
        <v>469</v>
      </c>
      <c r="C624" s="1">
        <v>45571</v>
      </c>
      <c r="D624" s="1">
        <v>45572</v>
      </c>
      <c r="E624" t="s">
        <v>35</v>
      </c>
      <c r="F624" t="s">
        <v>261</v>
      </c>
      <c r="G624" t="s">
        <v>262</v>
      </c>
      <c r="H624" t="s">
        <v>38</v>
      </c>
      <c r="I624" t="s">
        <v>26</v>
      </c>
      <c r="J624" t="s">
        <v>263</v>
      </c>
      <c r="K624" t="s">
        <v>264</v>
      </c>
      <c r="L624">
        <v>60610</v>
      </c>
      <c r="M624" t="s">
        <v>41</v>
      </c>
      <c r="N624" t="s">
        <v>121</v>
      </c>
      <c r="O624" t="s">
        <v>47</v>
      </c>
      <c r="P624" t="s">
        <v>122</v>
      </c>
      <c r="Q624" t="s">
        <v>123</v>
      </c>
      <c r="R624">
        <v>810</v>
      </c>
      <c r="S624">
        <v>3</v>
      </c>
      <c r="T624">
        <v>0.5</v>
      </c>
      <c r="U624">
        <v>-90.61</v>
      </c>
    </row>
    <row r="625" spans="1:21" x14ac:dyDescent="0.35">
      <c r="A625">
        <v>624</v>
      </c>
      <c r="B625" t="s">
        <v>469</v>
      </c>
      <c r="C625" s="1">
        <v>45571</v>
      </c>
      <c r="D625" s="1">
        <v>45572</v>
      </c>
      <c r="E625" t="s">
        <v>50</v>
      </c>
      <c r="F625" t="s">
        <v>261</v>
      </c>
      <c r="G625" t="s">
        <v>262</v>
      </c>
      <c r="H625" t="s">
        <v>38</v>
      </c>
      <c r="I625" t="s">
        <v>26</v>
      </c>
      <c r="J625" t="s">
        <v>263</v>
      </c>
      <c r="K625" t="s">
        <v>264</v>
      </c>
      <c r="L625">
        <v>60610</v>
      </c>
      <c r="M625" t="s">
        <v>41</v>
      </c>
      <c r="N625" t="s">
        <v>95</v>
      </c>
      <c r="O625" t="s">
        <v>47</v>
      </c>
      <c r="P625" t="s">
        <v>48</v>
      </c>
      <c r="Q625" t="s">
        <v>96</v>
      </c>
      <c r="R625">
        <v>154</v>
      </c>
      <c r="S625">
        <v>7</v>
      </c>
      <c r="T625">
        <v>0</v>
      </c>
      <c r="U625">
        <v>45.64</v>
      </c>
    </row>
    <row r="626" spans="1:21" x14ac:dyDescent="0.35">
      <c r="A626">
        <v>625</v>
      </c>
      <c r="B626" t="s">
        <v>469</v>
      </c>
      <c r="C626" s="1">
        <v>45571</v>
      </c>
      <c r="D626" s="1">
        <v>45572</v>
      </c>
      <c r="E626" t="s">
        <v>35</v>
      </c>
      <c r="F626" t="s">
        <v>261</v>
      </c>
      <c r="G626" t="s">
        <v>262</v>
      </c>
      <c r="H626" t="s">
        <v>38</v>
      </c>
      <c r="I626" t="s">
        <v>26</v>
      </c>
      <c r="J626" t="s">
        <v>263</v>
      </c>
      <c r="K626" t="s">
        <v>264</v>
      </c>
      <c r="L626">
        <v>60610</v>
      </c>
      <c r="M626" t="s">
        <v>41</v>
      </c>
      <c r="N626" t="s">
        <v>113</v>
      </c>
      <c r="O626" t="s">
        <v>43</v>
      </c>
      <c r="P626" t="s">
        <v>114</v>
      </c>
      <c r="Q626" t="s">
        <v>115</v>
      </c>
      <c r="R626">
        <v>35.200000000000003</v>
      </c>
      <c r="S626">
        <v>4</v>
      </c>
      <c r="T626">
        <v>0.2</v>
      </c>
      <c r="U626">
        <v>8.14</v>
      </c>
    </row>
    <row r="627" spans="1:21" x14ac:dyDescent="0.35">
      <c r="A627">
        <v>626</v>
      </c>
      <c r="B627" t="s">
        <v>469</v>
      </c>
      <c r="C627" s="1">
        <v>45571</v>
      </c>
      <c r="D627" s="1">
        <v>45572</v>
      </c>
      <c r="E627" t="s">
        <v>50</v>
      </c>
      <c r="F627" t="s">
        <v>261</v>
      </c>
      <c r="G627" t="s">
        <v>262</v>
      </c>
      <c r="H627" t="s">
        <v>38</v>
      </c>
      <c r="I627" t="s">
        <v>26</v>
      </c>
      <c r="J627" t="s">
        <v>263</v>
      </c>
      <c r="K627" t="s">
        <v>264</v>
      </c>
      <c r="L627">
        <v>60610</v>
      </c>
      <c r="M627" t="s">
        <v>41</v>
      </c>
      <c r="N627" t="s">
        <v>97</v>
      </c>
      <c r="O627" t="s">
        <v>31</v>
      </c>
      <c r="P627" t="s">
        <v>98</v>
      </c>
      <c r="Q627" t="s">
        <v>99</v>
      </c>
      <c r="R627">
        <v>416</v>
      </c>
      <c r="S627">
        <v>2</v>
      </c>
      <c r="T627">
        <v>0.2</v>
      </c>
      <c r="U627">
        <v>-6.61</v>
      </c>
    </row>
    <row r="628" spans="1:21" x14ac:dyDescent="0.35">
      <c r="A628">
        <v>627</v>
      </c>
      <c r="B628" t="s">
        <v>470</v>
      </c>
      <c r="C628" s="1">
        <v>45503</v>
      </c>
      <c r="D628" s="1">
        <v>45505</v>
      </c>
      <c r="E628" t="s">
        <v>50</v>
      </c>
      <c r="F628" t="s">
        <v>139</v>
      </c>
      <c r="G628" t="s">
        <v>140</v>
      </c>
      <c r="H628" t="s">
        <v>25</v>
      </c>
      <c r="I628" t="s">
        <v>26</v>
      </c>
      <c r="J628" t="s">
        <v>39</v>
      </c>
      <c r="K628" t="s">
        <v>40</v>
      </c>
      <c r="L628">
        <v>53711</v>
      </c>
      <c r="M628" t="s">
        <v>41</v>
      </c>
      <c r="N628" t="s">
        <v>77</v>
      </c>
      <c r="O628" t="s">
        <v>31</v>
      </c>
      <c r="P628" t="s">
        <v>78</v>
      </c>
      <c r="Q628" t="s">
        <v>79</v>
      </c>
      <c r="R628">
        <v>1008</v>
      </c>
      <c r="S628">
        <v>3</v>
      </c>
      <c r="T628">
        <v>0.2</v>
      </c>
      <c r="U628">
        <v>-171.82</v>
      </c>
    </row>
    <row r="629" spans="1:21" x14ac:dyDescent="0.35">
      <c r="A629">
        <v>628</v>
      </c>
      <c r="B629" t="s">
        <v>470</v>
      </c>
      <c r="C629" s="1">
        <v>45503</v>
      </c>
      <c r="D629" s="1">
        <v>45505</v>
      </c>
      <c r="E629" t="s">
        <v>94</v>
      </c>
      <c r="F629" t="s">
        <v>139</v>
      </c>
      <c r="G629" t="s">
        <v>140</v>
      </c>
      <c r="H629" t="s">
        <v>25</v>
      </c>
      <c r="I629" t="s">
        <v>26</v>
      </c>
      <c r="J629" t="s">
        <v>39</v>
      </c>
      <c r="K629" t="s">
        <v>40</v>
      </c>
      <c r="L629">
        <v>53711</v>
      </c>
      <c r="M629" t="s">
        <v>41</v>
      </c>
      <c r="N629" t="s">
        <v>97</v>
      </c>
      <c r="O629" t="s">
        <v>31</v>
      </c>
      <c r="P629" t="s">
        <v>98</v>
      </c>
      <c r="Q629" t="s">
        <v>99</v>
      </c>
      <c r="R629">
        <v>936</v>
      </c>
      <c r="S629">
        <v>4</v>
      </c>
      <c r="T629">
        <v>0.1</v>
      </c>
      <c r="U629">
        <v>36.46</v>
      </c>
    </row>
    <row r="630" spans="1:21" x14ac:dyDescent="0.35">
      <c r="A630">
        <v>629</v>
      </c>
      <c r="B630" t="s">
        <v>470</v>
      </c>
      <c r="C630" s="1">
        <v>45503</v>
      </c>
      <c r="D630" s="1">
        <v>45505</v>
      </c>
      <c r="E630" t="s">
        <v>94</v>
      </c>
      <c r="F630" t="s">
        <v>139</v>
      </c>
      <c r="G630" t="s">
        <v>140</v>
      </c>
      <c r="H630" t="s">
        <v>25</v>
      </c>
      <c r="I630" t="s">
        <v>26</v>
      </c>
      <c r="J630" t="s">
        <v>39</v>
      </c>
      <c r="K630" t="s">
        <v>40</v>
      </c>
      <c r="L630">
        <v>53711</v>
      </c>
      <c r="M630" t="s">
        <v>41</v>
      </c>
      <c r="N630" t="s">
        <v>109</v>
      </c>
      <c r="O630" t="s">
        <v>31</v>
      </c>
      <c r="P630" t="s">
        <v>110</v>
      </c>
      <c r="Q630" t="s">
        <v>111</v>
      </c>
      <c r="R630">
        <v>100</v>
      </c>
      <c r="S630">
        <v>4</v>
      </c>
      <c r="T630">
        <v>0</v>
      </c>
      <c r="U630">
        <v>27.59</v>
      </c>
    </row>
    <row r="631" spans="1:21" x14ac:dyDescent="0.35">
      <c r="A631">
        <v>630</v>
      </c>
      <c r="B631" t="s">
        <v>471</v>
      </c>
      <c r="C631" s="1">
        <v>46055</v>
      </c>
      <c r="D631" s="1">
        <v>46061</v>
      </c>
      <c r="E631" t="s">
        <v>94</v>
      </c>
      <c r="F631" t="s">
        <v>60</v>
      </c>
      <c r="G631" t="s">
        <v>61</v>
      </c>
      <c r="H631" t="s">
        <v>62</v>
      </c>
      <c r="I631" t="s">
        <v>26</v>
      </c>
      <c r="J631" t="s">
        <v>63</v>
      </c>
      <c r="K631" t="s">
        <v>64</v>
      </c>
      <c r="L631">
        <v>37211</v>
      </c>
      <c r="M631" t="s">
        <v>65</v>
      </c>
      <c r="N631" t="s">
        <v>109</v>
      </c>
      <c r="O631" t="s">
        <v>31</v>
      </c>
      <c r="P631" t="s">
        <v>110</v>
      </c>
      <c r="Q631" t="s">
        <v>111</v>
      </c>
      <c r="R631">
        <v>150</v>
      </c>
      <c r="S631">
        <v>6</v>
      </c>
      <c r="T631">
        <v>0</v>
      </c>
      <c r="U631">
        <v>42.79</v>
      </c>
    </row>
    <row r="632" spans="1:21" x14ac:dyDescent="0.35">
      <c r="A632">
        <v>631</v>
      </c>
      <c r="B632" t="s">
        <v>471</v>
      </c>
      <c r="C632" s="1">
        <v>46055</v>
      </c>
      <c r="D632" s="1">
        <v>46061</v>
      </c>
      <c r="E632" t="s">
        <v>50</v>
      </c>
      <c r="F632" t="s">
        <v>60</v>
      </c>
      <c r="G632" t="s">
        <v>61</v>
      </c>
      <c r="H632" t="s">
        <v>62</v>
      </c>
      <c r="I632" t="s">
        <v>26</v>
      </c>
      <c r="J632" t="s">
        <v>63</v>
      </c>
      <c r="K632" t="s">
        <v>64</v>
      </c>
      <c r="L632">
        <v>37211</v>
      </c>
      <c r="M632" t="s">
        <v>65</v>
      </c>
      <c r="N632" t="s">
        <v>30</v>
      </c>
      <c r="O632" t="s">
        <v>31</v>
      </c>
      <c r="P632" t="s">
        <v>32</v>
      </c>
      <c r="Q632" t="s">
        <v>33</v>
      </c>
      <c r="R632">
        <v>460</v>
      </c>
      <c r="S632">
        <v>2</v>
      </c>
      <c r="T632">
        <v>0</v>
      </c>
      <c r="U632">
        <v>57.05</v>
      </c>
    </row>
    <row r="633" spans="1:21" x14ac:dyDescent="0.35">
      <c r="A633">
        <v>632</v>
      </c>
      <c r="B633" t="s">
        <v>472</v>
      </c>
      <c r="C633" s="1">
        <v>45884</v>
      </c>
      <c r="D633" s="1">
        <v>45885</v>
      </c>
      <c r="E633" t="s">
        <v>35</v>
      </c>
      <c r="F633" t="s">
        <v>153</v>
      </c>
      <c r="G633" t="s">
        <v>154</v>
      </c>
      <c r="H633" t="s">
        <v>25</v>
      </c>
      <c r="I633" t="s">
        <v>26</v>
      </c>
      <c r="J633" t="s">
        <v>89</v>
      </c>
      <c r="K633" t="s">
        <v>90</v>
      </c>
      <c r="L633">
        <v>90036</v>
      </c>
      <c r="M633" t="s">
        <v>85</v>
      </c>
      <c r="N633" t="s">
        <v>125</v>
      </c>
      <c r="O633" t="s">
        <v>43</v>
      </c>
      <c r="P633" t="s">
        <v>126</v>
      </c>
      <c r="Q633" t="s">
        <v>127</v>
      </c>
      <c r="R633">
        <v>504</v>
      </c>
      <c r="S633">
        <v>6</v>
      </c>
      <c r="T633">
        <v>0.3</v>
      </c>
      <c r="U633">
        <v>-0.75</v>
      </c>
    </row>
    <row r="634" spans="1:21" x14ac:dyDescent="0.35">
      <c r="A634">
        <v>633</v>
      </c>
      <c r="B634" t="s">
        <v>472</v>
      </c>
      <c r="C634" s="1">
        <v>45884</v>
      </c>
      <c r="D634" s="1">
        <v>45885</v>
      </c>
      <c r="E634" t="s">
        <v>22</v>
      </c>
      <c r="F634" t="s">
        <v>153</v>
      </c>
      <c r="G634" t="s">
        <v>154</v>
      </c>
      <c r="H634" t="s">
        <v>25</v>
      </c>
      <c r="I634" t="s">
        <v>26</v>
      </c>
      <c r="J634" t="s">
        <v>89</v>
      </c>
      <c r="K634" t="s">
        <v>90</v>
      </c>
      <c r="L634">
        <v>90036</v>
      </c>
      <c r="M634" t="s">
        <v>85</v>
      </c>
      <c r="N634" t="s">
        <v>106</v>
      </c>
      <c r="O634" t="s">
        <v>43</v>
      </c>
      <c r="P634" t="s">
        <v>107</v>
      </c>
      <c r="Q634" t="s">
        <v>108</v>
      </c>
      <c r="R634">
        <v>45</v>
      </c>
      <c r="S634">
        <v>5</v>
      </c>
      <c r="T634">
        <v>0</v>
      </c>
      <c r="U634">
        <v>14.89</v>
      </c>
    </row>
    <row r="635" spans="1:21" x14ac:dyDescent="0.35">
      <c r="A635">
        <v>634</v>
      </c>
      <c r="B635" t="s">
        <v>472</v>
      </c>
      <c r="C635" s="1">
        <v>45884</v>
      </c>
      <c r="D635" s="1">
        <v>45885</v>
      </c>
      <c r="E635" t="s">
        <v>35</v>
      </c>
      <c r="F635" t="s">
        <v>153</v>
      </c>
      <c r="G635" t="s">
        <v>154</v>
      </c>
      <c r="H635" t="s">
        <v>25</v>
      </c>
      <c r="I635" t="s">
        <v>26</v>
      </c>
      <c r="J635" t="s">
        <v>89</v>
      </c>
      <c r="K635" t="s">
        <v>90</v>
      </c>
      <c r="L635">
        <v>90036</v>
      </c>
      <c r="M635" t="s">
        <v>85</v>
      </c>
      <c r="N635" t="s">
        <v>97</v>
      </c>
      <c r="O635" t="s">
        <v>31</v>
      </c>
      <c r="P635" t="s">
        <v>98</v>
      </c>
      <c r="Q635" t="s">
        <v>99</v>
      </c>
      <c r="R635">
        <v>780</v>
      </c>
      <c r="S635">
        <v>3</v>
      </c>
      <c r="T635">
        <v>0</v>
      </c>
      <c r="U635">
        <v>78.72</v>
      </c>
    </row>
    <row r="636" spans="1:21" x14ac:dyDescent="0.35">
      <c r="A636">
        <v>635</v>
      </c>
      <c r="B636" t="s">
        <v>473</v>
      </c>
      <c r="C636" s="1">
        <v>45823</v>
      </c>
      <c r="D636" s="1">
        <v>45827</v>
      </c>
      <c r="E636" t="s">
        <v>35</v>
      </c>
      <c r="F636" t="s">
        <v>117</v>
      </c>
      <c r="G636" t="s">
        <v>118</v>
      </c>
      <c r="H636" t="s">
        <v>25</v>
      </c>
      <c r="I636" t="s">
        <v>26</v>
      </c>
      <c r="J636" t="s">
        <v>119</v>
      </c>
      <c r="K636" t="s">
        <v>120</v>
      </c>
      <c r="L636">
        <v>97206</v>
      </c>
      <c r="M636" t="s">
        <v>85</v>
      </c>
      <c r="N636" t="s">
        <v>113</v>
      </c>
      <c r="O636" t="s">
        <v>43</v>
      </c>
      <c r="P636" t="s">
        <v>114</v>
      </c>
      <c r="Q636" t="s">
        <v>115</v>
      </c>
      <c r="R636">
        <v>11</v>
      </c>
      <c r="S636">
        <v>2</v>
      </c>
      <c r="T636">
        <v>0.5</v>
      </c>
      <c r="U636">
        <v>1.42</v>
      </c>
    </row>
    <row r="637" spans="1:21" x14ac:dyDescent="0.35">
      <c r="A637">
        <v>636</v>
      </c>
      <c r="B637" t="s">
        <v>474</v>
      </c>
      <c r="C637" s="1">
        <v>46099</v>
      </c>
      <c r="D637" s="1">
        <v>46105</v>
      </c>
      <c r="E637" t="s">
        <v>35</v>
      </c>
      <c r="F637" t="s">
        <v>157</v>
      </c>
      <c r="G637" t="s">
        <v>158</v>
      </c>
      <c r="H637" t="s">
        <v>62</v>
      </c>
      <c r="I637" t="s">
        <v>26</v>
      </c>
      <c r="J637" t="s">
        <v>89</v>
      </c>
      <c r="K637" t="s">
        <v>90</v>
      </c>
      <c r="L637">
        <v>90036</v>
      </c>
      <c r="M637" t="s">
        <v>85</v>
      </c>
      <c r="N637" t="s">
        <v>125</v>
      </c>
      <c r="O637" t="s">
        <v>43</v>
      </c>
      <c r="P637" t="s">
        <v>126</v>
      </c>
      <c r="Q637" t="s">
        <v>127</v>
      </c>
      <c r="R637">
        <v>672</v>
      </c>
      <c r="S637">
        <v>7</v>
      </c>
      <c r="T637">
        <v>0.2</v>
      </c>
      <c r="U637">
        <v>40.4</v>
      </c>
    </row>
    <row r="638" spans="1:21" x14ac:dyDescent="0.35">
      <c r="A638">
        <v>637</v>
      </c>
      <c r="B638" t="s">
        <v>474</v>
      </c>
      <c r="C638" s="1">
        <v>46099</v>
      </c>
      <c r="D638" s="1">
        <v>46105</v>
      </c>
      <c r="E638" t="s">
        <v>35</v>
      </c>
      <c r="F638" t="s">
        <v>157</v>
      </c>
      <c r="G638" t="s">
        <v>158</v>
      </c>
      <c r="H638" t="s">
        <v>62</v>
      </c>
      <c r="I638" t="s">
        <v>26</v>
      </c>
      <c r="J638" t="s">
        <v>89</v>
      </c>
      <c r="K638" t="s">
        <v>90</v>
      </c>
      <c r="L638">
        <v>90036</v>
      </c>
      <c r="M638" t="s">
        <v>85</v>
      </c>
      <c r="N638" t="s">
        <v>77</v>
      </c>
      <c r="O638" t="s">
        <v>31</v>
      </c>
      <c r="P638" t="s">
        <v>78</v>
      </c>
      <c r="Q638" t="s">
        <v>79</v>
      </c>
      <c r="R638">
        <v>2520</v>
      </c>
      <c r="S638">
        <v>6</v>
      </c>
      <c r="T638">
        <v>0</v>
      </c>
      <c r="U638">
        <v>-126.21</v>
      </c>
    </row>
    <row r="639" spans="1:21" x14ac:dyDescent="0.35">
      <c r="A639">
        <v>638</v>
      </c>
      <c r="B639" t="s">
        <v>474</v>
      </c>
      <c r="C639" s="1">
        <v>46099</v>
      </c>
      <c r="D639" s="1">
        <v>46105</v>
      </c>
      <c r="E639" t="s">
        <v>94</v>
      </c>
      <c r="F639" t="s">
        <v>157</v>
      </c>
      <c r="G639" t="s">
        <v>158</v>
      </c>
      <c r="H639" t="s">
        <v>62</v>
      </c>
      <c r="I639" t="s">
        <v>26</v>
      </c>
      <c r="J639" t="s">
        <v>89</v>
      </c>
      <c r="K639" t="s">
        <v>90</v>
      </c>
      <c r="L639">
        <v>90036</v>
      </c>
      <c r="M639" t="s">
        <v>85</v>
      </c>
      <c r="N639" t="s">
        <v>109</v>
      </c>
      <c r="O639" t="s">
        <v>31</v>
      </c>
      <c r="P639" t="s">
        <v>110</v>
      </c>
      <c r="Q639" t="s">
        <v>111</v>
      </c>
      <c r="R639">
        <v>50</v>
      </c>
      <c r="S639">
        <v>2</v>
      </c>
      <c r="T639">
        <v>0</v>
      </c>
      <c r="U639">
        <v>12.15</v>
      </c>
    </row>
    <row r="640" spans="1:21" x14ac:dyDescent="0.35">
      <c r="A640">
        <v>639</v>
      </c>
      <c r="B640" t="s">
        <v>474</v>
      </c>
      <c r="C640" s="1">
        <v>46099</v>
      </c>
      <c r="D640" s="1">
        <v>46105</v>
      </c>
      <c r="E640" t="s">
        <v>50</v>
      </c>
      <c r="F640" t="s">
        <v>157</v>
      </c>
      <c r="G640" t="s">
        <v>158</v>
      </c>
      <c r="H640" t="s">
        <v>62</v>
      </c>
      <c r="I640" t="s">
        <v>26</v>
      </c>
      <c r="J640" t="s">
        <v>89</v>
      </c>
      <c r="K640" t="s">
        <v>90</v>
      </c>
      <c r="L640">
        <v>90036</v>
      </c>
      <c r="M640" t="s">
        <v>85</v>
      </c>
      <c r="N640" t="s">
        <v>42</v>
      </c>
      <c r="O640" t="s">
        <v>43</v>
      </c>
      <c r="P640" t="s">
        <v>44</v>
      </c>
      <c r="Q640" t="s">
        <v>45</v>
      </c>
      <c r="R640">
        <v>42</v>
      </c>
      <c r="S640">
        <v>3</v>
      </c>
      <c r="T640">
        <v>0</v>
      </c>
      <c r="U640">
        <v>17.16</v>
      </c>
    </row>
    <row r="641" spans="1:21" x14ac:dyDescent="0.35">
      <c r="A641">
        <v>640</v>
      </c>
      <c r="B641" t="s">
        <v>475</v>
      </c>
      <c r="C641" s="1">
        <v>45667</v>
      </c>
      <c r="D641" s="1">
        <v>45672</v>
      </c>
      <c r="E641" t="s">
        <v>94</v>
      </c>
      <c r="F641" t="s">
        <v>206</v>
      </c>
      <c r="G641" t="s">
        <v>207</v>
      </c>
      <c r="H641" t="s">
        <v>25</v>
      </c>
      <c r="I641" t="s">
        <v>26</v>
      </c>
      <c r="J641" t="s">
        <v>119</v>
      </c>
      <c r="K641" t="s">
        <v>120</v>
      </c>
      <c r="L641">
        <v>97206</v>
      </c>
      <c r="M641" t="s">
        <v>85</v>
      </c>
      <c r="N641" t="s">
        <v>97</v>
      </c>
      <c r="O641" t="s">
        <v>31</v>
      </c>
      <c r="P641" t="s">
        <v>98</v>
      </c>
      <c r="Q641" t="s">
        <v>99</v>
      </c>
      <c r="R641">
        <v>1560</v>
      </c>
      <c r="S641">
        <v>6</v>
      </c>
      <c r="T641">
        <v>0</v>
      </c>
      <c r="U641">
        <v>154.01</v>
      </c>
    </row>
    <row r="642" spans="1:21" x14ac:dyDescent="0.35">
      <c r="A642">
        <v>641</v>
      </c>
      <c r="B642" t="s">
        <v>476</v>
      </c>
      <c r="C642" s="1">
        <v>45779</v>
      </c>
      <c r="D642" s="1">
        <v>45783</v>
      </c>
      <c r="E642" t="s">
        <v>35</v>
      </c>
      <c r="F642" t="s">
        <v>213</v>
      </c>
      <c r="G642" t="s">
        <v>214</v>
      </c>
      <c r="H642" t="s">
        <v>25</v>
      </c>
      <c r="I642" t="s">
        <v>26</v>
      </c>
      <c r="J642" t="s">
        <v>75</v>
      </c>
      <c r="K642" t="s">
        <v>76</v>
      </c>
      <c r="L642">
        <v>2110</v>
      </c>
      <c r="M642" t="s">
        <v>29</v>
      </c>
      <c r="N642" t="s">
        <v>51</v>
      </c>
      <c r="O642" t="s">
        <v>43</v>
      </c>
      <c r="P642" t="s">
        <v>52</v>
      </c>
      <c r="Q642" t="s">
        <v>53</v>
      </c>
      <c r="R642">
        <v>24</v>
      </c>
      <c r="S642">
        <v>3</v>
      </c>
      <c r="T642">
        <v>0</v>
      </c>
      <c r="U642">
        <v>5.18</v>
      </c>
    </row>
    <row r="643" spans="1:21" x14ac:dyDescent="0.35">
      <c r="A643">
        <v>642</v>
      </c>
      <c r="B643" t="s">
        <v>476</v>
      </c>
      <c r="C643" s="1">
        <v>45779</v>
      </c>
      <c r="D643" s="1">
        <v>45783</v>
      </c>
      <c r="E643" t="s">
        <v>35</v>
      </c>
      <c r="F643" t="s">
        <v>213</v>
      </c>
      <c r="G643" t="s">
        <v>214</v>
      </c>
      <c r="H643" t="s">
        <v>25</v>
      </c>
      <c r="I643" t="s">
        <v>26</v>
      </c>
      <c r="J643" t="s">
        <v>75</v>
      </c>
      <c r="K643" t="s">
        <v>76</v>
      </c>
      <c r="L643">
        <v>2110</v>
      </c>
      <c r="M643" t="s">
        <v>29</v>
      </c>
      <c r="N643" t="s">
        <v>113</v>
      </c>
      <c r="O643" t="s">
        <v>43</v>
      </c>
      <c r="P643" t="s">
        <v>114</v>
      </c>
      <c r="Q643" t="s">
        <v>115</v>
      </c>
      <c r="R643">
        <v>22</v>
      </c>
      <c r="S643">
        <v>2</v>
      </c>
      <c r="T643">
        <v>0</v>
      </c>
      <c r="U643">
        <v>7.93</v>
      </c>
    </row>
    <row r="644" spans="1:21" x14ac:dyDescent="0.35">
      <c r="A644">
        <v>643</v>
      </c>
      <c r="B644" t="s">
        <v>476</v>
      </c>
      <c r="C644" s="1">
        <v>45779</v>
      </c>
      <c r="D644" s="1">
        <v>45783</v>
      </c>
      <c r="E644" t="s">
        <v>22</v>
      </c>
      <c r="F644" t="s">
        <v>213</v>
      </c>
      <c r="G644" t="s">
        <v>214</v>
      </c>
      <c r="H644" t="s">
        <v>25</v>
      </c>
      <c r="I644" t="s">
        <v>26</v>
      </c>
      <c r="J644" t="s">
        <v>75</v>
      </c>
      <c r="K644" t="s">
        <v>76</v>
      </c>
      <c r="L644">
        <v>2110</v>
      </c>
      <c r="M644" t="s">
        <v>29</v>
      </c>
      <c r="N644" t="s">
        <v>125</v>
      </c>
      <c r="O644" t="s">
        <v>43</v>
      </c>
      <c r="P644" t="s">
        <v>126</v>
      </c>
      <c r="Q644" t="s">
        <v>127</v>
      </c>
      <c r="R644">
        <v>720</v>
      </c>
      <c r="S644">
        <v>6</v>
      </c>
      <c r="T644">
        <v>0</v>
      </c>
      <c r="U644">
        <v>128.79</v>
      </c>
    </row>
    <row r="645" spans="1:21" x14ac:dyDescent="0.35">
      <c r="A645">
        <v>644</v>
      </c>
      <c r="B645" t="s">
        <v>476</v>
      </c>
      <c r="C645" s="1">
        <v>45779</v>
      </c>
      <c r="D645" s="1">
        <v>45783</v>
      </c>
      <c r="E645" t="s">
        <v>22</v>
      </c>
      <c r="F645" t="s">
        <v>213</v>
      </c>
      <c r="G645" t="s">
        <v>214</v>
      </c>
      <c r="H645" t="s">
        <v>25</v>
      </c>
      <c r="I645" t="s">
        <v>26</v>
      </c>
      <c r="J645" t="s">
        <v>75</v>
      </c>
      <c r="K645" t="s">
        <v>76</v>
      </c>
      <c r="L645">
        <v>2110</v>
      </c>
      <c r="M645" t="s">
        <v>29</v>
      </c>
      <c r="N645" t="s">
        <v>95</v>
      </c>
      <c r="O645" t="s">
        <v>47</v>
      </c>
      <c r="P645" t="s">
        <v>48</v>
      </c>
      <c r="Q645" t="s">
        <v>96</v>
      </c>
      <c r="R645">
        <v>59.4</v>
      </c>
      <c r="S645">
        <v>3</v>
      </c>
      <c r="T645">
        <v>0.1</v>
      </c>
      <c r="U645">
        <v>12.31</v>
      </c>
    </row>
    <row r="646" spans="1:21" x14ac:dyDescent="0.35">
      <c r="A646">
        <v>645</v>
      </c>
      <c r="B646" t="s">
        <v>477</v>
      </c>
      <c r="C646" s="1">
        <v>45569</v>
      </c>
      <c r="D646" s="1">
        <v>45574</v>
      </c>
      <c r="E646" t="s">
        <v>94</v>
      </c>
      <c r="F646" t="s">
        <v>439</v>
      </c>
      <c r="G646" t="s">
        <v>340</v>
      </c>
      <c r="H646" t="s">
        <v>25</v>
      </c>
      <c r="I646" t="s">
        <v>26</v>
      </c>
      <c r="J646" t="s">
        <v>63</v>
      </c>
      <c r="K646" t="s">
        <v>64</v>
      </c>
      <c r="L646">
        <v>37211</v>
      </c>
      <c r="M646" t="s">
        <v>65</v>
      </c>
      <c r="N646" t="s">
        <v>121</v>
      </c>
      <c r="O646" t="s">
        <v>47</v>
      </c>
      <c r="P646" t="s">
        <v>122</v>
      </c>
      <c r="Q646" t="s">
        <v>123</v>
      </c>
      <c r="R646">
        <v>3780</v>
      </c>
      <c r="S646">
        <v>7</v>
      </c>
      <c r="T646">
        <v>0</v>
      </c>
      <c r="U646">
        <v>716.76</v>
      </c>
    </row>
    <row r="647" spans="1:21" x14ac:dyDescent="0.35">
      <c r="A647">
        <v>646</v>
      </c>
      <c r="B647" t="s">
        <v>477</v>
      </c>
      <c r="C647" s="1">
        <v>45569</v>
      </c>
      <c r="D647" s="1">
        <v>45574</v>
      </c>
      <c r="E647" t="s">
        <v>22</v>
      </c>
      <c r="F647" t="s">
        <v>439</v>
      </c>
      <c r="G647" t="s">
        <v>340</v>
      </c>
      <c r="H647" t="s">
        <v>25</v>
      </c>
      <c r="I647" t="s">
        <v>26</v>
      </c>
      <c r="J647" t="s">
        <v>63</v>
      </c>
      <c r="K647" t="s">
        <v>64</v>
      </c>
      <c r="L647">
        <v>37211</v>
      </c>
      <c r="M647" t="s">
        <v>65</v>
      </c>
      <c r="N647" t="s">
        <v>66</v>
      </c>
      <c r="O647" t="s">
        <v>47</v>
      </c>
      <c r="P647" t="s">
        <v>67</v>
      </c>
      <c r="Q647" t="s">
        <v>68</v>
      </c>
      <c r="R647">
        <v>231</v>
      </c>
      <c r="S647">
        <v>1</v>
      </c>
      <c r="T647">
        <v>0.3</v>
      </c>
      <c r="U647">
        <v>-2.19</v>
      </c>
    </row>
    <row r="648" spans="1:21" x14ac:dyDescent="0.35">
      <c r="A648">
        <v>647</v>
      </c>
      <c r="B648" t="s">
        <v>478</v>
      </c>
      <c r="C648" s="1">
        <v>45590</v>
      </c>
      <c r="D648" s="1">
        <v>45591</v>
      </c>
      <c r="E648" t="s">
        <v>50</v>
      </c>
      <c r="F648" t="s">
        <v>336</v>
      </c>
      <c r="G648" t="s">
        <v>337</v>
      </c>
      <c r="H648" t="s">
        <v>25</v>
      </c>
      <c r="I648" t="s">
        <v>26</v>
      </c>
      <c r="J648" t="s">
        <v>89</v>
      </c>
      <c r="K648" t="s">
        <v>90</v>
      </c>
      <c r="L648">
        <v>90036</v>
      </c>
      <c r="M648" t="s">
        <v>85</v>
      </c>
      <c r="N648" t="s">
        <v>103</v>
      </c>
      <c r="O648" t="s">
        <v>47</v>
      </c>
      <c r="P648" t="s">
        <v>104</v>
      </c>
      <c r="Q648" t="s">
        <v>105</v>
      </c>
      <c r="R648">
        <v>3560</v>
      </c>
      <c r="S648">
        <v>5</v>
      </c>
      <c r="T648">
        <v>0.2</v>
      </c>
      <c r="U648">
        <v>284.05</v>
      </c>
    </row>
    <row r="649" spans="1:21" x14ac:dyDescent="0.35">
      <c r="C649" s="1"/>
      <c r="D649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A1ED5-ECC2-4DE4-BF58-A6C7F6013E54}">
  <dimension ref="A1:B5"/>
  <sheetViews>
    <sheetView tabSelected="1" workbookViewId="0">
      <selection activeCell="A7" sqref="A7"/>
    </sheetView>
  </sheetViews>
  <sheetFormatPr defaultRowHeight="14.5" x14ac:dyDescent="0.35"/>
  <cols>
    <col min="1" max="1" width="28" customWidth="1"/>
    <col min="2" max="2" width="23.54296875" customWidth="1"/>
  </cols>
  <sheetData>
    <row r="1" spans="1:2" ht="23.5" x14ac:dyDescent="0.35">
      <c r="A1" s="2" t="s">
        <v>483</v>
      </c>
      <c r="B1" s="2"/>
    </row>
    <row r="2" spans="1:2" x14ac:dyDescent="0.35">
      <c r="A2" s="3" t="s">
        <v>479</v>
      </c>
      <c r="B2" s="4">
        <f>SUM(Orders[Sales])</f>
        <v>488715.7</v>
      </c>
    </row>
    <row r="3" spans="1:2" x14ac:dyDescent="0.35">
      <c r="A3" s="3" t="s">
        <v>480</v>
      </c>
      <c r="B3" s="3">
        <f>SUM(Orders[Quantity])</f>
        <v>2592</v>
      </c>
    </row>
    <row r="4" spans="1:2" x14ac:dyDescent="0.35">
      <c r="A4" s="3" t="s">
        <v>481</v>
      </c>
      <c r="B4" s="4">
        <f>SUM(Orders[Sales])/COUNTA(_xlfn.UNIQUE(Orders[Order ID]))</f>
        <v>1872.4739463601534</v>
      </c>
    </row>
    <row r="5" spans="1:2" x14ac:dyDescent="0.35">
      <c r="A5" s="3" t="s">
        <v>482</v>
      </c>
      <c r="B5" s="3" t="str" cm="1">
        <f t="array" ref="B5">_xlfn.LET(_xlpm.p,_xlfn.UNIQUE(Orders[Product Name]),_xlpm.s,SUMIF(Orders[Product Name],_xlpm.p,Orders[Sales]),INDEX(_xlpm.p,_xlfn.XMATCH(MAX(_xlpm.s),_xlpm.s)))</f>
        <v>Canon Imageclass Copier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Raw_Data</vt:lpstr>
      <vt:lpstr>KPI_Summary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Divya sree</cp:lastModifiedBy>
  <dcterms:created xsi:type="dcterms:W3CDTF">2026-10-10T14:26:43Z</dcterms:created>
  <dcterms:modified xsi:type="dcterms:W3CDTF">2026-10-10T14:26:49Z</dcterms:modified>
</cp:coreProperties>
</file>